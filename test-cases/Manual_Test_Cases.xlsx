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1.xml" ContentType="application/vnd.openxmlformats-officedocument.drawing+xml"/>
  <Override PartName="/xl/tables/table6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tst\Downloads\"/>
    </mc:Choice>
  </mc:AlternateContent>
  <xr:revisionPtr revIDLastSave="0" documentId="13_ncr:1_{F2ADA398-AAF3-4DFD-8FF4-EC9FC86B2A58}" xr6:coauthVersionLast="47" xr6:coauthVersionMax="47" xr10:uidLastSave="{00000000-0000-0000-0000-000000000000}"/>
  <bookViews>
    <workbookView xWindow="-120" yWindow="-120" windowWidth="29040" windowHeight="15720" activeTab="5" xr2:uid="{3605F817-5E32-4F94-A443-7EE6AE114249}"/>
  </bookViews>
  <sheets>
    <sheet name="Traceability" sheetId="4" r:id="rId1"/>
    <sheet name="Test_Cases" sheetId="1" r:id="rId2"/>
    <sheet name="Smoke" sheetId="2" r:id="rId3"/>
    <sheet name="Regression" sheetId="3" r:id="rId4"/>
    <sheet name="Defects" sheetId="5" r:id="rId5"/>
    <sheet name="Metrics" sheetId="6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4" i="6" l="1"/>
  <c r="E4" i="6"/>
  <c r="D4" i="6"/>
  <c r="C4" i="6"/>
  <c r="B4" i="6"/>
  <c r="O3" i="5"/>
  <c r="O2" i="5"/>
</calcChain>
</file>

<file path=xl/sharedStrings.xml><?xml version="1.0" encoding="utf-8"?>
<sst xmlns="http://schemas.openxmlformats.org/spreadsheetml/2006/main" count="1074" uniqueCount="323">
  <si>
    <t>TC_ID</t>
  </si>
  <si>
    <t>Feature</t>
  </si>
  <si>
    <t>Scenario_ID</t>
  </si>
  <si>
    <t>Test Case Title</t>
  </si>
  <si>
    <t>Priority</t>
  </si>
  <si>
    <t>Preconditions</t>
  </si>
  <si>
    <t>Test Data</t>
  </si>
  <si>
    <t>Steps</t>
  </si>
  <si>
    <t>Expected Result</t>
  </si>
  <si>
    <t>Execution Type</t>
  </si>
  <si>
    <t>Automation Candidate</t>
  </si>
  <si>
    <t>Status</t>
  </si>
  <si>
    <t>Notes</t>
  </si>
  <si>
    <t>TC-001</t>
  </si>
  <si>
    <t>Authentication</t>
  </si>
  <si>
    <t>AUTH-01</t>
  </si>
  <si>
    <t>Register with valid data</t>
  </si>
  <si>
    <t>P0</t>
  </si>
  <si>
    <t>User not registered</t>
  </si>
  <si>
    <t>valid email; strong password</t>
  </si>
  <si>
    <t>1) Open Register 2) Enter valid email 3) Enter strong password 4) Submit registration</t>
  </si>
  <si>
    <t>Registration succeeds; account created; user can proceed to login</t>
  </si>
  <si>
    <t>Manual</t>
  </si>
  <si>
    <t>Yes</t>
  </si>
  <si>
    <t>Use unique email each run</t>
  </si>
  <si>
    <t>TC-002</t>
  </si>
  <si>
    <t>AUTH-02</t>
  </si>
  <si>
    <t>Register with already used email</t>
  </si>
  <si>
    <t>P1</t>
  </si>
  <si>
    <t>Email already exists</t>
  </si>
  <si>
    <t>existing email; valid password</t>
  </si>
  <si>
    <t>1) Open Register 2) Enter existing email 3) Enter valid password 4) Submit</t>
  </si>
  <si>
    <t>Error displayed; registration blocked</t>
  </si>
  <si>
    <t>No</t>
  </si>
  <si>
    <t>TC-003</t>
  </si>
  <si>
    <t>AUTH-03</t>
  </si>
  <si>
    <t>Register with invalid email format</t>
  </si>
  <si>
    <t>invalid email (e.g., user@)</t>
  </si>
  <si>
    <t>1) Open Register 2) Enter invalid email 3) Enter valid password 4) Submit</t>
  </si>
  <si>
    <t>Validation error displayed; registration blocked</t>
  </si>
  <si>
    <t>TC-004</t>
  </si>
  <si>
    <t>AUTH-04</t>
  </si>
  <si>
    <t>Register with weak password</t>
  </si>
  <si>
    <t>valid email; weak password</t>
  </si>
  <si>
    <t>1) Open Register 2) Enter valid email 3) Enter weak password 4) Submit</t>
  </si>
  <si>
    <t>Password rule message shown; registration blocked</t>
  </si>
  <si>
    <t>Define password policy in docs if needed</t>
  </si>
  <si>
    <t>TC-005</t>
  </si>
  <si>
    <t>AUTH-05</t>
  </si>
  <si>
    <t>Login with valid credentials</t>
  </si>
  <si>
    <t>User exists</t>
  </si>
  <si>
    <t>valid email; correct password</t>
  </si>
  <si>
    <t>1) Open Login 2) Enter valid email 3) Enter correct password 4) Submit</t>
  </si>
  <si>
    <t>User logged in; redirected to home/portal; session created</t>
  </si>
  <si>
    <t>TC-006</t>
  </si>
  <si>
    <t>AUTH-06</t>
  </si>
  <si>
    <t>Login with invalid password</t>
  </si>
  <si>
    <t>valid email; wrong password</t>
  </si>
  <si>
    <t>1) Open Login 2) Enter valid email 3) Enter wrong password 4) Submit</t>
  </si>
  <si>
    <t>Error displayed; user not logged in</t>
  </si>
  <si>
    <t>TC-007</t>
  </si>
  <si>
    <t>AUTH-07</t>
  </si>
  <si>
    <t>Login with non-existent account</t>
  </si>
  <si>
    <t>User does not exist</t>
  </si>
  <si>
    <t>non-existent email; any password</t>
  </si>
  <si>
    <t>1) Open Login 2) Enter non-existent email 3) Enter password 4) Submit</t>
  </si>
  <si>
    <t>TC-008</t>
  </si>
  <si>
    <t>AUTH-08</t>
  </si>
  <si>
    <t>Logout</t>
  </si>
  <si>
    <t>User logged in</t>
  </si>
  <si>
    <t>N/A</t>
  </si>
  <si>
    <t>1) Click Logout</t>
  </si>
  <si>
    <t>User logged out; redirected to login page; session terminated</t>
  </si>
  <si>
    <t>TC-009</t>
  </si>
  <si>
    <t>AUTH-09</t>
  </si>
  <si>
    <t>Access protected page while logged out</t>
  </si>
  <si>
    <t>User logged out</t>
  </si>
  <si>
    <t>1) Open a protected URL (e.g., /cart or /history)</t>
  </si>
  <si>
    <t>Redirected to login; no protected data shown</t>
  </si>
  <si>
    <t>TC-010</t>
  </si>
  <si>
    <t>AUTH-10</t>
  </si>
  <si>
    <t>Session expired handling</t>
  </si>
  <si>
    <t>User logged in then session expires</t>
  </si>
  <si>
    <t>1) Log in 2) Expire session (wait or invalidate) 3) Attempt navigation or action</t>
  </si>
  <si>
    <t>User is prompted to log in again; action blocked safely</t>
  </si>
  <si>
    <t>Can simulate by clearing cookies</t>
  </si>
  <si>
    <t>TC-011</t>
  </si>
  <si>
    <t>Product Browsing</t>
  </si>
  <si>
    <t>PROD-01</t>
  </si>
  <si>
    <t>View product list successfully</t>
  </si>
  <si>
    <t>Product catalog available</t>
  </si>
  <si>
    <t>1) Navigate to Products/List page</t>
  </si>
  <si>
    <t>Product list displayed with name + price</t>
  </si>
  <si>
    <t>TC-012</t>
  </si>
  <si>
    <t>PROD-02</t>
  </si>
  <si>
    <t>Product list empty state</t>
  </si>
  <si>
    <t>P2</t>
  </si>
  <si>
    <t>No products available</t>
  </si>
  <si>
    <t>1) Navigate to Products/List page with empty dataset</t>
  </si>
  <si>
    <t>Empty state message shown; UI stable</t>
  </si>
  <si>
    <t>TC-013</t>
  </si>
  <si>
    <t>PROD-05</t>
  </si>
  <si>
    <t>Product loading failure handling</t>
  </si>
  <si>
    <t>API returns error/timeout</t>
  </si>
  <si>
    <t>1) Navigate to Products/List 2) Simulate API failure</t>
  </si>
  <si>
    <t>Error message shown; retry possible; no crash</t>
  </si>
  <si>
    <t>Use devtools/network throttling if needed</t>
  </si>
  <si>
    <t>TC-014</t>
  </si>
  <si>
    <t>Cart Management</t>
  </si>
  <si>
    <t>CART-01</t>
  </si>
  <si>
    <t>Add product to cart</t>
  </si>
  <si>
    <t>User logged in; product exists</t>
  </si>
  <si>
    <t>Product A</t>
  </si>
  <si>
    <t>1) Open Products 2) Click Add to Cart on Product A</t>
  </si>
  <si>
    <t>Cart updated; product appears in cart; count/summary updated</t>
  </si>
  <si>
    <t>TC-015</t>
  </si>
  <si>
    <t>CART-02</t>
  </si>
  <si>
    <t>Add same product twice (quantity behavior)</t>
  </si>
  <si>
    <t>1) Add Product A to cart 2) Add Product A again</t>
  </si>
  <si>
    <t>Quantity increases or duplicate behavior matches requirement</t>
  </si>
  <si>
    <t>Clarify expected behavior in requirements</t>
  </si>
  <si>
    <t>TC-016</t>
  </si>
  <si>
    <t>CART-03</t>
  </si>
  <si>
    <t>Update quantity in cart</t>
  </si>
  <si>
    <t>User logged in; product in cart</t>
  </si>
  <si>
    <t>Product A; qty change (e.g., 1→2)</t>
  </si>
  <si>
    <t>1) Open Cart 2) Change quantity 3) Save/update</t>
  </si>
  <si>
    <t>Quantity updated; totals recalculated correctly</t>
  </si>
  <si>
    <t>TC-017</t>
  </si>
  <si>
    <t>CART-04</t>
  </si>
  <si>
    <t>Remove item from cart</t>
  </si>
  <si>
    <t>1) Open Cart 2) Remove Product A</t>
  </si>
  <si>
    <t>Item removed; totals updated; cart state correct</t>
  </si>
  <si>
    <t>TC-018</t>
  </si>
  <si>
    <t>CART-05</t>
  </si>
  <si>
    <t>Cart persistence during navigation</t>
  </si>
  <si>
    <t>1) Add Product A 2) Navigate to Products/Home/History 3) Return to Cart</t>
  </si>
  <si>
    <t>Cart still contains Product A during session</t>
  </si>
  <si>
    <t>TC-019</t>
  </si>
  <si>
    <t>CART-06</t>
  </si>
  <si>
    <t>Empty cart state</t>
  </si>
  <si>
    <t>User logged in; cart empty</t>
  </si>
  <si>
    <t>1) Open Cart with no items</t>
  </si>
  <si>
    <t>Empty state shown; checkout disabled or blocked</t>
  </si>
  <si>
    <t>TC-020</t>
  </si>
  <si>
    <t>Checkout</t>
  </si>
  <si>
    <t>CHK-01</t>
  </si>
  <si>
    <t>Checkout happy path (payment success)</t>
  </si>
  <si>
    <t>User logged in; cart has items</t>
  </si>
  <si>
    <t>Product A; payment mock=success</t>
  </si>
  <si>
    <t>1) Add item to cart 2) Open Cart 3) Proceed to Checkout 4) Confirm payment (mock success)</t>
  </si>
  <si>
    <t>Order created; confirmation shown; cart cleared</t>
  </si>
  <si>
    <t>TC-021</t>
  </si>
  <si>
    <t>CHK-02</t>
  </si>
  <si>
    <t>Attempt checkout with empty cart</t>
  </si>
  <si>
    <t>1) Navigate to Checkout with empty cart</t>
  </si>
  <si>
    <t>Checkout blocked; user informed; no order created</t>
  </si>
  <si>
    <t>TC-022</t>
  </si>
  <si>
    <t>CHK-03</t>
  </si>
  <si>
    <t>Payment failure handling (mocked)</t>
  </si>
  <si>
    <t>Product A; payment mock=failure</t>
  </si>
  <si>
    <t>1) Add item 2) Proceed to checkout 3) Trigger payment failure</t>
  </si>
  <si>
    <t>Order not created; clear error shown; cart retained</t>
  </si>
  <si>
    <t>TC-023</t>
  </si>
  <si>
    <t>CHK-05</t>
  </si>
  <si>
    <t>Prevent duplicate order submission</t>
  </si>
  <si>
    <t>1) Proceed to checkout 2) Double-click confirm or refresh at confirm step</t>
  </si>
  <si>
    <t>Only one order created; duplicates prevented</t>
  </si>
  <si>
    <t>TC-024</t>
  </si>
  <si>
    <t>Purchase History</t>
  </si>
  <si>
    <t>HIST-01</t>
  </si>
  <si>
    <t>View purchase history after checkout</t>
  </si>
  <si>
    <t>User logged in; at least 1 order exists</t>
  </si>
  <si>
    <t>Order created from TC-020</t>
  </si>
  <si>
    <t>1) Complete checkout 2) Navigate to Purchase History</t>
  </si>
  <si>
    <t>New order appears with correct items/date</t>
  </si>
  <si>
    <t>TC-025</t>
  </si>
  <si>
    <t>HIST-02</t>
  </si>
  <si>
    <t>Purchase history empty state</t>
  </si>
  <si>
    <t>User logged in; no orders</t>
  </si>
  <si>
    <t>1) Navigate to Purchase History with no orders</t>
  </si>
  <si>
    <t>TC-026</t>
  </si>
  <si>
    <t>HIST-03</t>
  </si>
  <si>
    <t>Purchase history data accuracy</t>
  </si>
  <si>
    <t>User logged in; order exists</t>
  </si>
  <si>
    <t>Order with known items/prices</t>
  </si>
  <si>
    <t>1) Open Purchase History 2) Open order details (if available)</t>
  </si>
  <si>
    <t>Items/prices match completed order; no missing entries</t>
  </si>
  <si>
    <t>TC-027</t>
  </si>
  <si>
    <t>HIST-04</t>
  </si>
  <si>
    <t>Access purchase history while logged out</t>
  </si>
  <si>
    <t>1) Open Purchase History URL directly</t>
  </si>
  <si>
    <t>Redirected to login; no data exposed</t>
  </si>
  <si>
    <t>Suite</t>
  </si>
  <si>
    <t>Smoke</t>
  </si>
  <si>
    <t>Column1</t>
  </si>
  <si>
    <t>Regression</t>
  </si>
  <si>
    <t>P0+P1</t>
  </si>
  <si>
    <t>US_ID</t>
  </si>
  <si>
    <t>User Story</t>
  </si>
  <si>
    <t>Coverage Type</t>
  </si>
  <si>
    <t>US-001</t>
  </si>
  <si>
    <t>As a new user, I can register an account to access the portal.</t>
  </si>
  <si>
    <t>Positive</t>
  </si>
  <si>
    <t>Negative</t>
  </si>
  <si>
    <t>US-002</t>
  </si>
  <si>
    <t>As a returning user, I can log in and log out securely.</t>
  </si>
  <si>
    <t>As a returning user, I can log out to end my session.</t>
  </si>
  <si>
    <t>US-003</t>
  </si>
  <si>
    <t>As a user, I can browse available digital products.</t>
  </si>
  <si>
    <t>As a user, I see clear feedback if products cannot be loaded.</t>
  </si>
  <si>
    <t>US-004</t>
  </si>
  <si>
    <t>As a user, I can add products to my cart.</t>
  </si>
  <si>
    <t>As a user, I can update quantities in my cart.</t>
  </si>
  <si>
    <t>As a user, I can remove items from my cart.</t>
  </si>
  <si>
    <t>As a user, my cart remains consistent while navigating.</t>
  </si>
  <si>
    <t>Behavior</t>
  </si>
  <si>
    <t>As a user, I see an empty cart state when no items exist.</t>
  </si>
  <si>
    <t>US-005</t>
  </si>
  <si>
    <t>As a user, I can checkout successfully using a mocked payment flow.</t>
  </si>
  <si>
    <t>As a user, checkout is blocked when the cart is empty.</t>
  </si>
  <si>
    <t>As a user, I see clear messaging if payment fails.</t>
  </si>
  <si>
    <t>As a user, the system prevents duplicate orders.</t>
  </si>
  <si>
    <t>US-006</t>
  </si>
  <si>
    <t>As a user, I can view my purchase history.</t>
  </si>
  <si>
    <t>As a user, I see an empty state when I have no purchases.</t>
  </si>
  <si>
    <t>As a user, purchase history details are accurate.</t>
  </si>
  <si>
    <t>US-007</t>
  </si>
  <si>
    <t>As a user, I cannot access protected pages without authentication.</t>
  </si>
  <si>
    <t>Security</t>
  </si>
  <si>
    <t>As a user, I cannot access purchase history while logged out.</t>
  </si>
  <si>
    <t>US-008</t>
  </si>
  <si>
    <t>As a user, expired sessions are handled safely.</t>
  </si>
  <si>
    <t>Executed On</t>
  </si>
  <si>
    <t>Executed By</t>
  </si>
  <si>
    <t>Defect ID</t>
  </si>
  <si>
    <t>2026-02-03</t>
  </si>
  <si>
    <t>2026-02-02</t>
  </si>
  <si>
    <t>2026-02-01</t>
  </si>
  <si>
    <t>2026-01-31</t>
  </si>
  <si>
    <t>2026-01-30</t>
  </si>
  <si>
    <t>2026-02-04</t>
  </si>
  <si>
    <t>Wiam</t>
  </si>
  <si>
    <t>Tester 2</t>
  </si>
  <si>
    <t>Passed</t>
  </si>
  <si>
    <t>Failed</t>
  </si>
  <si>
    <t>BUG-109</t>
  </si>
  <si>
    <t>Investigate calculation; retest after fix.</t>
  </si>
  <si>
    <t>Blocked by environment/data limitation; pending decision or workaround.</t>
  </si>
  <si>
    <t>Blocked</t>
  </si>
  <si>
    <t>BUG-115</t>
  </si>
  <si>
    <t>Bug ID</t>
  </si>
  <si>
    <t>Summary</t>
  </si>
  <si>
    <t>Severity</t>
  </si>
  <si>
    <t>Detected In Build</t>
  </si>
  <si>
    <t>Reported By</t>
  </si>
  <si>
    <t>Assigned To</t>
  </si>
  <si>
    <t>Fix Version</t>
  </si>
  <si>
    <t>Comments</t>
  </si>
  <si>
    <t>Created On</t>
  </si>
  <si>
    <t>Closed On</t>
  </si>
  <si>
    <t>Reopened?</t>
  </si>
  <si>
    <t>Reopen Count</t>
  </si>
  <si>
    <t>Ageing (days)</t>
  </si>
  <si>
    <t>Checkout overview totals mismatch for tax/total</t>
  </si>
  <si>
    <t>Critical</t>
  </si>
  <si>
    <t>In Progress</t>
  </si>
  <si>
    <t>RC-3</t>
  </si>
  <si>
    <t>RC-4</t>
  </si>
  <si>
    <t>Blocks release unless accepted</t>
  </si>
  <si>
    <t>Purchase history not available / missing feature</t>
  </si>
  <si>
    <t>Minor</t>
  </si>
  <si>
    <t>Accepted</t>
  </si>
  <si>
    <t>RC-1</t>
  </si>
  <si>
    <t>Tester 3</t>
  </si>
  <si>
    <t>Dev 1</t>
  </si>
  <si>
    <t>PO 1</t>
  </si>
  <si>
    <t>Accepted as out-of-scope for mvp version</t>
  </si>
  <si>
    <t>Not Started</t>
  </si>
  <si>
    <t>KPI Execution Summary</t>
  </si>
  <si>
    <t>Item</t>
  </si>
  <si>
    <t>Nbr TC per day</t>
  </si>
  <si>
    <t>Target (nbr TC)</t>
  </si>
  <si>
    <t>Target %</t>
  </si>
  <si>
    <t>OK%</t>
  </si>
  <si>
    <t>6,2%</t>
  </si>
  <si>
    <t>11,5%</t>
  </si>
  <si>
    <t>19,4%</t>
  </si>
  <si>
    <t>35,6%</t>
  </si>
  <si>
    <t>45,5%</t>
  </si>
  <si>
    <t>53,2%</t>
  </si>
  <si>
    <t>62,0%</t>
  </si>
  <si>
    <t>KO%</t>
  </si>
  <si>
    <t>0,0%</t>
  </si>
  <si>
    <t>1,0%</t>
  </si>
  <si>
    <t>0,3%</t>
  </si>
  <si>
    <t>Blocked%</t>
  </si>
  <si>
    <t>0,9%</t>
  </si>
  <si>
    <t>3,1%</t>
  </si>
  <si>
    <t>0,8%</t>
  </si>
  <si>
    <t>1,3%</t>
  </si>
  <si>
    <t>Not started%</t>
  </si>
  <si>
    <t>93,6%</t>
  </si>
  <si>
    <t>78,5%</t>
  </si>
  <si>
    <t>65,8%</t>
  </si>
  <si>
    <t>48,8%</t>
  </si>
  <si>
    <t>42,1%</t>
  </si>
  <si>
    <t>16,9%</t>
  </si>
  <si>
    <t>12,0%</t>
  </si>
  <si>
    <t>In progress%</t>
  </si>
  <si>
    <t>2,4%</t>
  </si>
  <si>
    <t>3,3%</t>
  </si>
  <si>
    <t>7,8%</t>
  </si>
  <si>
    <t>4,7%</t>
  </si>
  <si>
    <t>3,6%</t>
  </si>
  <si>
    <t>KO JDD%</t>
  </si>
  <si>
    <t>5,7%</t>
  </si>
  <si>
    <t>7,4%</t>
  </si>
  <si>
    <t>7,5%</t>
  </si>
  <si>
    <t>25,2%</t>
  </si>
  <si>
    <t>24,3%</t>
  </si>
  <si>
    <t>Total test days</t>
  </si>
  <si>
    <t>Holidays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</si>
</sst>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rgb="FFFFFFFF"/>
      <name val="Calibri"/>
      <family val="2"/>
    </font>
    <font>
      <sz val="8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4472C4"/>
      <name val="Calibri"/>
      <family val="2"/>
      <scheme val="minor"/>
    </font>
    <font>
      <sz val="11"/>
      <color rgb="FF222A35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1F4E79"/>
      </patternFill>
    </fill>
    <fill>
      <patternFill patternType="solid">
        <fgColor rgb="FF4472C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BF9000"/>
        <bgColor indexed="64"/>
      </patternFill>
    </fill>
  </fills>
  <borders count="12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4472C4"/>
      </bottom>
      <diagonal/>
    </border>
    <border>
      <left style="medium">
        <color rgb="FFCCCCCC"/>
      </left>
      <right style="medium">
        <color rgb="FFFFFFFF"/>
      </right>
      <top style="medium">
        <color rgb="FF9CC2E5"/>
      </top>
      <bottom style="medium">
        <color rgb="FF4472C4"/>
      </bottom>
      <diagonal/>
    </border>
    <border>
      <left style="medium">
        <color rgb="FF4472C4"/>
      </left>
      <right style="medium">
        <color rgb="FF4472C4"/>
      </right>
      <top style="medium">
        <color rgb="FFCCCCCC"/>
      </top>
      <bottom style="medium">
        <color rgb="FF4472C4"/>
      </bottom>
      <diagonal/>
    </border>
    <border>
      <left style="medium">
        <color rgb="FFCCCCCC"/>
      </left>
      <right style="medium">
        <color rgb="FF4472C4"/>
      </right>
      <top style="medium">
        <color rgb="FFCCCCCC"/>
      </top>
      <bottom style="medium">
        <color rgb="FF4472C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4472C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ck">
        <color rgb="FF4472C4"/>
      </left>
      <right style="thick">
        <color rgb="FF4472C4"/>
      </right>
      <top style="medium">
        <color rgb="FFCCCCCC"/>
      </top>
      <bottom style="thick">
        <color rgb="FF4472C4"/>
      </bottom>
      <diagonal/>
    </border>
    <border>
      <left style="medium">
        <color rgb="FFCCCCCC"/>
      </left>
      <right style="thick">
        <color rgb="FF4472C4"/>
      </right>
      <top style="medium">
        <color rgb="FFCCCCCC"/>
      </top>
      <bottom style="thick">
        <color rgb="FF4472C4"/>
      </bottom>
      <diagonal/>
    </border>
    <border>
      <left style="thick">
        <color rgb="FF4472C4"/>
      </left>
      <right style="medium">
        <color rgb="FFCCCCCC"/>
      </right>
      <top style="medium">
        <color rgb="FFCCCCCC"/>
      </top>
      <bottom style="thick">
        <color rgb="FF4472C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0" xfId="0" applyAlignment="1">
      <alignment wrapText="1"/>
    </xf>
    <xf numFmtId="0" fontId="2" fillId="3" borderId="0" xfId="0" applyFont="1" applyFill="1" applyAlignment="1">
      <alignment vertical="center" wrapText="1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vertical="center" wrapText="1"/>
    </xf>
    <xf numFmtId="14" fontId="4" fillId="4" borderId="4" xfId="0" applyNumberFormat="1" applyFont="1" applyFill="1" applyBorder="1" applyAlignment="1">
      <alignment horizontal="center" vertical="center" wrapText="1"/>
    </xf>
    <xf numFmtId="0" fontId="5" fillId="5" borderId="5" xfId="0" applyFont="1" applyFill="1" applyBorder="1" applyAlignment="1">
      <alignment vertical="center" wrapText="1"/>
    </xf>
    <xf numFmtId="0" fontId="0" fillId="5" borderId="6" xfId="0" applyFill="1" applyBorder="1" applyAlignment="1">
      <alignment horizontal="center" vertical="center" wrapText="1"/>
    </xf>
    <xf numFmtId="0" fontId="0" fillId="6" borderId="6" xfId="0" applyFill="1" applyBorder="1" applyAlignment="1">
      <alignment vertical="center" wrapText="1"/>
    </xf>
    <xf numFmtId="0" fontId="0" fillId="0" borderId="6" xfId="0" applyBorder="1" applyAlignment="1">
      <alignment horizontal="center" vertical="center" wrapText="1"/>
    </xf>
    <xf numFmtId="0" fontId="0" fillId="5" borderId="6" xfId="0" applyFill="1" applyBorder="1" applyAlignment="1">
      <alignment vertical="center" wrapText="1"/>
    </xf>
    <xf numFmtId="0" fontId="0" fillId="6" borderId="6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right" vertical="center" wrapText="1"/>
    </xf>
    <xf numFmtId="0" fontId="0" fillId="6" borderId="6" xfId="0" applyFill="1" applyBorder="1" applyAlignment="1">
      <alignment horizontal="right" vertical="center" wrapText="1"/>
    </xf>
    <xf numFmtId="0" fontId="0" fillId="0" borderId="6" xfId="0" applyBorder="1" applyAlignment="1">
      <alignment horizontal="right" vertical="center" wrapText="1"/>
    </xf>
    <xf numFmtId="0" fontId="0" fillId="5" borderId="7" xfId="0" applyFill="1" applyBorder="1" applyAlignment="1">
      <alignment vertical="center" wrapText="1"/>
    </xf>
    <xf numFmtId="0" fontId="0" fillId="5" borderId="8" xfId="0" applyFill="1" applyBorder="1" applyAlignment="1">
      <alignment vertical="center" wrapText="1"/>
    </xf>
    <xf numFmtId="0" fontId="4" fillId="4" borderId="9" xfId="0" applyFont="1" applyFill="1" applyBorder="1" applyAlignment="1">
      <alignment vertical="center" wrapText="1"/>
    </xf>
    <xf numFmtId="0" fontId="6" fillId="0" borderId="10" xfId="0" applyFont="1" applyBorder="1" applyAlignment="1">
      <alignment horizontal="right" vertical="center" wrapText="1"/>
    </xf>
    <xf numFmtId="0" fontId="6" fillId="0" borderId="11" xfId="0" applyFont="1" applyBorder="1" applyAlignment="1">
      <alignment horizontal="center" vertical="center" wrapText="1"/>
    </xf>
    <xf numFmtId="0" fontId="0" fillId="0" borderId="7" xfId="0" applyBorder="1" applyAlignment="1">
      <alignment vertical="center" wrapText="1"/>
    </xf>
    <xf numFmtId="0" fontId="4" fillId="7" borderId="11" xfId="0" applyFont="1" applyFill="1" applyBorder="1" applyAlignment="1">
      <alignment vertical="center" wrapText="1"/>
    </xf>
    <xf numFmtId="14" fontId="6" fillId="0" borderId="10" xfId="0" applyNumberFormat="1" applyFont="1" applyBorder="1" applyAlignment="1">
      <alignment horizontal="right" vertical="center" wrapText="1"/>
    </xf>
    <xf numFmtId="0" fontId="0" fillId="0" borderId="10" xfId="0" applyBorder="1" applyAlignment="1">
      <alignment vertical="center" wrapText="1"/>
    </xf>
  </cellXfs>
  <cellStyles count="1">
    <cellStyle name="Normal" xfId="0" builtinId="0"/>
  </cellStyles>
  <dxfs count="40">
    <dxf>
      <alignment horizontal="general" textRotation="0" wrapText="1" indent="0" justifyLastLine="0" shrinkToFit="0" readingOrder="0"/>
    </dxf>
    <dxf>
      <alignment horizontal="general" textRotation="0" wrapText="1" indent="0" justifyLastLine="0" shrinkToFit="0" readingOrder="0"/>
    </dxf>
    <dxf>
      <alignment horizontal="general" textRotation="0" wrapText="1" indent="0" justifyLastLine="0" shrinkToFit="0" readingOrder="0"/>
    </dxf>
    <dxf>
      <alignment horizontal="general" textRotation="0" wrapText="1" indent="0" justifyLastLine="0" shrinkToFit="0" readingOrder="0"/>
    </dxf>
    <dxf>
      <alignment horizontal="general" textRotation="0" wrapText="1" indent="0" justifyLastLine="0" shrinkToFit="0" readingOrder="0"/>
    </dxf>
    <dxf>
      <alignment horizontal="general" textRotation="0" wrapText="1" indent="0" justifyLastLine="0" shrinkToFit="0" readingOrder="0"/>
    </dxf>
    <dxf>
      <alignment horizontal="general" textRotation="0" wrapText="1" indent="0" justifyLastLine="0" shrinkToFit="0" readingOrder="0"/>
    </dxf>
    <dxf>
      <alignment horizontal="general" textRotation="0" wrapText="1" indent="0" justifyLastLine="0" shrinkToFit="0" readingOrder="0"/>
    </dxf>
    <dxf>
      <alignment horizontal="general" textRotation="0" wrapText="1" indent="0" justifyLastLine="0" shrinkToFit="0" readingOrder="0"/>
    </dxf>
    <dxf>
      <alignment horizontal="general" textRotation="0" wrapText="1" indent="0" justifyLastLine="0" shrinkToFit="0" readingOrder="0"/>
    </dxf>
    <dxf>
      <alignment horizontal="general" textRotation="0" wrapText="1" indent="0" justifyLastLine="0" shrinkToFit="0" readingOrder="0"/>
    </dxf>
    <dxf>
      <alignment horizontal="general" textRotation="0" wrapText="1" indent="0" justifyLastLine="0" shrinkToFit="0" readingOrder="0"/>
    </dxf>
    <dxf>
      <alignment horizontal="general" textRotation="0" wrapText="1" indent="0" justifyLastLine="0" shrinkToFit="0" readingOrder="0"/>
    </dxf>
    <dxf>
      <alignment horizontal="general" textRotation="0" wrapText="1" indent="0" justifyLastLine="0" shrinkToFit="0" readingOrder="0"/>
    </dxf>
    <dxf>
      <alignment horizontal="general" textRotation="0" wrapText="1" indent="0" justifyLastLine="0" shrinkToFit="0" readingOrder="0"/>
    </dxf>
    <dxf>
      <alignment horizontal="general" textRotation="0" wrapText="1" indent="0" justifyLastLine="0" shrinkToFit="0" readingOrder="0"/>
    </dxf>
    <dxf>
      <alignment horizontal="general" textRotation="0" wrapText="1" indent="0" justifyLastLine="0" shrinkToFit="0" readingOrder="0"/>
    </dxf>
    <dxf>
      <alignment horizontal="general" textRotation="0" wrapText="1" indent="0" justifyLastLine="0" shrinkToFit="0" readingOrder="0"/>
    </dxf>
    <dxf>
      <alignment horizontal="general" textRotation="0" wrapText="1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C00000"/>
      </font>
      <fill>
        <patternFill>
          <bgColor theme="2" tint="-0.24994659260841701"/>
        </patternFill>
      </fill>
      <border>
        <left/>
        <right/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Execution Summary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bg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5D2-4C89-B739-19541357AD0B}"/>
              </c:ext>
            </c:extLst>
          </c:dPt>
          <c:dPt>
            <c:idx val="1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35D2-4C89-B739-19541357AD0B}"/>
              </c:ext>
            </c:extLst>
          </c:dPt>
          <c:dPt>
            <c:idx val="2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5D2-4C89-B739-19541357AD0B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35D2-4C89-B739-19541357AD0B}"/>
              </c:ext>
            </c:extLst>
          </c:dPt>
          <c:dPt>
            <c:idx val="4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5D2-4C89-B739-19541357AD0B}"/>
              </c:ext>
            </c:extLst>
          </c:dPt>
          <c:cat>
            <c:strRef>
              <c:f>Metrics!$B$3:$F$3</c:f>
              <c:strCache>
                <c:ptCount val="5"/>
                <c:pt idx="0">
                  <c:v>Not Started</c:v>
                </c:pt>
                <c:pt idx="1">
                  <c:v>In Progress</c:v>
                </c:pt>
                <c:pt idx="2">
                  <c:v>Passed</c:v>
                </c:pt>
                <c:pt idx="3">
                  <c:v>Failed</c:v>
                </c:pt>
                <c:pt idx="4">
                  <c:v>Blocked</c:v>
                </c:pt>
              </c:strCache>
            </c:strRef>
          </c:cat>
          <c:val>
            <c:numRef>
              <c:f>Metrics!$B$4:$F$4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25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D2-4C89-B739-19541357AD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</xdr:row>
      <xdr:rowOff>9524</xdr:rowOff>
    </xdr:from>
    <xdr:to>
      <xdr:col>6</xdr:col>
      <xdr:colOff>57150</xdr:colOff>
      <xdr:row>19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E016C19-447A-505C-2939-C5168C1CE9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71E31FE-6E4C-4281-B5D1-137C8AF3816E}" name="Table4" displayName="Table4" ref="A1:G26" totalsRowShown="0">
  <autoFilter ref="A1:G26" xr:uid="{471E31FE-6E4C-4281-B5D1-137C8AF3816E}"/>
  <tableColumns count="7">
    <tableColumn id="1" xr3:uid="{FA613F9D-3907-42C0-977A-7906F5382511}" name="US_ID"/>
    <tableColumn id="2" xr3:uid="{8B093338-537F-4BCE-A419-5E2F97934FF5}" name="User Story"/>
    <tableColumn id="3" xr3:uid="{B7324465-D76C-4D77-A5AC-AA9139953048}" name="Scenario_ID"/>
    <tableColumn id="4" xr3:uid="{EDAE234E-48CC-4D1F-9456-F727D93CE4C9}" name="TC_ID"/>
    <tableColumn id="5" xr3:uid="{92992473-B0D4-4E30-A493-8DAB3232CEF5}" name="Coverage Type"/>
    <tableColumn id="6" xr3:uid="{4C9ECB6A-CBB1-4D03-BD1B-2DB574389040}" name="Priority"/>
    <tableColumn id="7" xr3:uid="{24E5F84C-AE12-46C9-9D29-74DF2DA12103}" name="Automation Candida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0BF17AB-92C9-4424-91A4-B8C632AE4A8F}" name="Table1" displayName="Table1" ref="A1:P28" totalsRowShown="0" headerRowDxfId="22" dataDxfId="39">
  <autoFilter ref="A1:P28" xr:uid="{60BF17AB-92C9-4424-91A4-B8C632AE4A8F}"/>
  <tableColumns count="16">
    <tableColumn id="1" xr3:uid="{70E7FC72-2B94-4095-B589-FD7EEDADA482}" name="TC_ID" dataDxfId="38"/>
    <tableColumn id="2" xr3:uid="{1755BD3D-DC03-4163-89A9-162DE2B3770C}" name="Feature" dataDxfId="37"/>
    <tableColumn id="3" xr3:uid="{7AF03489-C780-4276-A52C-BDF8DFD76C9F}" name="Scenario_ID" dataDxfId="36"/>
    <tableColumn id="4" xr3:uid="{48FAEC4C-5B3C-4D4E-8AE0-C39DBDDF6BE3}" name="Test Case Title" dataDxfId="35"/>
    <tableColumn id="5" xr3:uid="{D110F2B7-DB0A-49D5-976A-BD537630DCF0}" name="Priority" dataDxfId="34"/>
    <tableColumn id="6" xr3:uid="{8489B1F9-E125-4361-B792-6743609018C8}" name="Preconditions" dataDxfId="33"/>
    <tableColumn id="7" xr3:uid="{19825A25-9210-4BF2-B18A-7329EDD28CB1}" name="Test Data" dataDxfId="32"/>
    <tableColumn id="8" xr3:uid="{87692A4B-4CDA-438A-9C49-AB3C27FC0D05}" name="Steps" dataDxfId="31"/>
    <tableColumn id="9" xr3:uid="{E43DF14F-4C89-4C38-BC7B-5FAA0EB05EAB}" name="Expected Result" dataDxfId="30"/>
    <tableColumn id="10" xr3:uid="{D140EB97-BC8A-4E7A-90FB-6498F3C2A973}" name="Execution Type" dataDxfId="29"/>
    <tableColumn id="11" xr3:uid="{51F608C5-3082-4103-88B4-EF3A990BA23C}" name="Automation Candidate" dataDxfId="28"/>
    <tableColumn id="12" xr3:uid="{01407860-668D-4B00-B956-E822B09C94A1}" name="Status" dataDxfId="27"/>
    <tableColumn id="15" xr3:uid="{EB504D96-9132-4B86-956C-61DCBEBD8252}" name="Executed On" dataDxfId="25"/>
    <tableColumn id="16" xr3:uid="{435E9679-3F75-4A9C-8920-BDF52CE9995E}" name="Executed By" dataDxfId="24"/>
    <tableColumn id="17" xr3:uid="{430A00E7-DF8B-4CE6-868B-C20EFED6467B}" name="Defect ID" dataDxfId="23"/>
    <tableColumn id="13" xr3:uid="{F6C48C40-842E-4505-97D6-72075CEACBCF}" name="Notes" dataDxfId="2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8716A09-1943-43BF-8285-9B44409C480F}" name="Table2" displayName="Table2" ref="A1:I14" totalsRowShown="0">
  <autoFilter ref="A1:I14" xr:uid="{D8716A09-1943-43BF-8285-9B44409C480F}"/>
  <tableColumns count="9">
    <tableColumn id="1" xr3:uid="{BD3F5983-4D9B-4CD4-BCB3-C37FE084B9E3}" name="Suite"/>
    <tableColumn id="2" xr3:uid="{4B2969FB-6D3B-46AB-AE1F-E840802508C6}" name="TC_ID"/>
    <tableColumn id="3" xr3:uid="{2ECF9690-EFAE-4800-8032-9E7CDF24E6CE}" name="Feature"/>
    <tableColumn id="4" xr3:uid="{C5B2E2B0-1892-46E6-BFC7-5AD42A35D8C0}" name="Scenario_ID"/>
    <tableColumn id="5" xr3:uid="{A55F9CD3-221D-411A-8A3B-1AA9CE6BDCC5}" name="Test Case Title"/>
    <tableColumn id="6" xr3:uid="{CEAB9B51-87F1-4270-A129-08444A715123}" name="Priority"/>
    <tableColumn id="7" xr3:uid="{237CF917-43AC-4041-979B-3969C28B967E}" name="Execution Type"/>
    <tableColumn id="8" xr3:uid="{ED82A1D2-26B0-48D2-86CA-350329AFA335}" name="Automation Candidate"/>
    <tableColumn id="9" xr3:uid="{B5D7EA67-051F-461A-8B46-887BA3FDFE15}" name="Column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237D862-DD03-4B2E-B766-5C5AA86FDA2B}" name="Table3" displayName="Table3" ref="A1:I27" totalsRowShown="0">
  <autoFilter ref="A1:I27" xr:uid="{F237D862-DD03-4B2E-B766-5C5AA86FDA2B}"/>
  <tableColumns count="9">
    <tableColumn id="1" xr3:uid="{997DE6CB-FC6C-4A06-AD9C-31AD2D539EBE}" name="Suite"/>
    <tableColumn id="2" xr3:uid="{E2929E89-267D-48C5-BC58-2F88B0EDBD11}" name="TC_ID"/>
    <tableColumn id="3" xr3:uid="{CD958186-49D5-42AE-9E4E-D8C6B56DD9FE}" name="Feature"/>
    <tableColumn id="4" xr3:uid="{F607C61C-EEE9-41BA-A4E0-FB837724B481}" name="Scenario_ID"/>
    <tableColumn id="5" xr3:uid="{DCC2E593-EDA0-4D26-86AB-6060667D95AC}" name="Test Case Title"/>
    <tableColumn id="6" xr3:uid="{4449A73D-6721-4866-B4D1-0B67E5D431EF}" name="Priority"/>
    <tableColumn id="7" xr3:uid="{0C3F6ECD-66A0-4C01-BC43-92913003C5C3}" name="Execution Type"/>
    <tableColumn id="8" xr3:uid="{D3725148-565B-49EF-9C0C-80DBE485ADDC}" name="Automation Candidate"/>
    <tableColumn id="9" xr3:uid="{7DE2BEC8-B076-4606-895A-18C602536D9C}" name="Column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6205429-782E-4B95-821E-A4E4E4DA9EAC}" name="tblDefects" displayName="tblDefects" ref="A1:P3" headerRowDxfId="2" dataDxfId="0" totalsRowDxfId="1">
  <autoFilter ref="A1:P3" xr:uid="{16205429-782E-4B95-821E-A4E4E4DA9EAC}"/>
  <tableColumns count="16">
    <tableColumn id="1" xr3:uid="{2A03D3B9-16D0-431F-86C7-59FFB8345E3C}" name="Bug ID" dataDxfId="18"/>
    <tableColumn id="2" xr3:uid="{223F2C82-D20E-4706-994C-760A0776ADFB}" name="Summary" dataDxfId="17"/>
    <tableColumn id="3" xr3:uid="{8697FFCF-037D-4007-95A0-C3438BAB0AF1}" name="Feature" dataDxfId="16"/>
    <tableColumn id="4" xr3:uid="{9CC38287-94BC-472E-B8E8-C8F44235DCBF}" name="Severity" dataDxfId="15"/>
    <tableColumn id="5" xr3:uid="{D2B8399C-E03F-4CCD-B5D3-B0ACDA875653}" name="Priority" dataDxfId="14"/>
    <tableColumn id="6" xr3:uid="{27D3F052-E3EC-4B7C-BB84-B9CE6D64FA7E}" name="Status" dataDxfId="13"/>
    <tableColumn id="7" xr3:uid="{5B7F4C8E-D5A0-42A2-BDD4-D17F2C4AC688}" name="Detected In Build" dataDxfId="12"/>
    <tableColumn id="15" xr3:uid="{1E6527C3-A25A-4295-B136-C25574F008D8}" name="Fix Version" dataDxfId="11"/>
    <tableColumn id="8" xr3:uid="{12A7D37F-2087-4422-BA26-DD0515A95902}" name="Reported By" dataDxfId="10"/>
    <tableColumn id="9" xr3:uid="{2ED68D75-A096-4A98-AEA3-91C60E6F903D}" name="Assigned To" dataDxfId="9"/>
    <tableColumn id="10" xr3:uid="{89E2EAC8-4666-4A03-9123-49BF70C506CB}" name="Created On" dataDxfId="8"/>
    <tableColumn id="11" xr3:uid="{A717E9D7-7947-4D1B-8679-0B10348597FB}" name="Closed On" dataDxfId="7"/>
    <tableColumn id="12" xr3:uid="{C2902D5F-EABB-4DF5-B33E-7052ABDAF44A}" name="Reopened?" dataDxfId="6"/>
    <tableColumn id="13" xr3:uid="{A67CEEE6-9D7C-42FD-9C1A-764B44F90CAF}" name="Reopen Count" dataDxfId="5"/>
    <tableColumn id="14" xr3:uid="{41B70439-2691-4F57-8511-F60953EFA70A}" name="Ageing (days)" dataDxfId="4">
      <calculatedColumnFormula>IF(L2&lt;&gt;"",L2-K2,TODAY()-K2)</calculatedColumnFormula>
    </tableColumn>
    <tableColumn id="16" xr3:uid="{6BE911E0-B36F-4267-A2AD-A88D8520CF3F}" name="Comments" dataDxfId="3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7A27ADA-9F4B-4570-B89B-7EBCF78FCB5F}" name="Table6" displayName="Table6" ref="B3:F4" totalsRowShown="0">
  <autoFilter ref="B3:F4" xr:uid="{17A27ADA-9F4B-4570-B89B-7EBCF78FCB5F}"/>
  <tableColumns count="5">
    <tableColumn id="1" xr3:uid="{680E3648-EC9C-4486-82ED-6F8698CB0102}" name="Not Started">
      <calculatedColumnFormula xml:space="preserve"> COUNTIF(Test_Cases!L:L, "Not Started")</calculatedColumnFormula>
    </tableColumn>
    <tableColumn id="2" xr3:uid="{09A40617-6611-4536-9629-89FA9217E3FE}" name="In Progress">
      <calculatedColumnFormula xml:space="preserve"> COUNTIF(Test_Cases!L:L, "In Progress")</calculatedColumnFormula>
    </tableColumn>
    <tableColumn id="3" xr3:uid="{5CDE109A-59FD-43BB-9942-F5F9416F6D44}" name="Passed">
      <calculatedColumnFormula xml:space="preserve"> COUNTIF(Test_Cases!L:L, "Passed")</calculatedColumnFormula>
    </tableColumn>
    <tableColumn id="4" xr3:uid="{7473BA4A-7397-4929-8407-30104F3D361A}" name="Failed">
      <calculatedColumnFormula xml:space="preserve"> COUNTIF(Test_Cases!L:L, "Failed")</calculatedColumnFormula>
    </tableColumn>
    <tableColumn id="5" xr3:uid="{E01F9A7B-5DD3-451B-B2EF-CA4D1762EB89}" name="Blocked">
      <calculatedColumnFormula xml:space="preserve"> COUNTIF(Test_Cases!L:L, "Blocked")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DA5B-E6E6-4E51-80A4-8384658135B6}">
  <sheetPr>
    <tabColor rgb="FFC00000"/>
  </sheetPr>
  <dimension ref="A1:G26"/>
  <sheetViews>
    <sheetView workbookViewId="0">
      <selection activeCell="E16" sqref="E16"/>
    </sheetView>
  </sheetViews>
  <sheetFormatPr defaultRowHeight="15" x14ac:dyDescent="0.25"/>
  <cols>
    <col min="2" max="2" width="62.28515625" bestFit="1" customWidth="1"/>
    <col min="3" max="3" width="13.5703125" customWidth="1"/>
    <col min="5" max="5" width="16.140625" customWidth="1"/>
    <col min="6" max="6" width="9.7109375" customWidth="1"/>
    <col min="7" max="7" width="23.140625" customWidth="1"/>
  </cols>
  <sheetData>
    <row r="1" spans="1:7" x14ac:dyDescent="0.25">
      <c r="A1" t="s">
        <v>198</v>
      </c>
      <c r="B1" t="s">
        <v>199</v>
      </c>
      <c r="C1" t="s">
        <v>2</v>
      </c>
      <c r="D1" t="s">
        <v>0</v>
      </c>
      <c r="E1" t="s">
        <v>200</v>
      </c>
      <c r="F1" t="s">
        <v>4</v>
      </c>
      <c r="G1" t="s">
        <v>10</v>
      </c>
    </row>
    <row r="2" spans="1:7" x14ac:dyDescent="0.25">
      <c r="A2" t="s">
        <v>201</v>
      </c>
      <c r="B2" t="s">
        <v>202</v>
      </c>
      <c r="C2" t="s">
        <v>15</v>
      </c>
      <c r="D2" t="s">
        <v>13</v>
      </c>
      <c r="E2" t="s">
        <v>203</v>
      </c>
      <c r="F2" t="s">
        <v>17</v>
      </c>
      <c r="G2" t="s">
        <v>23</v>
      </c>
    </row>
    <row r="3" spans="1:7" x14ac:dyDescent="0.25">
      <c r="A3" t="s">
        <v>201</v>
      </c>
      <c r="B3" t="s">
        <v>202</v>
      </c>
      <c r="C3" t="s">
        <v>26</v>
      </c>
      <c r="D3" t="s">
        <v>25</v>
      </c>
      <c r="E3" t="s">
        <v>204</v>
      </c>
      <c r="F3" t="s">
        <v>28</v>
      </c>
      <c r="G3" t="s">
        <v>33</v>
      </c>
    </row>
    <row r="4" spans="1:7" x14ac:dyDescent="0.25">
      <c r="A4" t="s">
        <v>201</v>
      </c>
      <c r="B4" t="s">
        <v>202</v>
      </c>
      <c r="C4" t="s">
        <v>35</v>
      </c>
      <c r="D4" t="s">
        <v>34</v>
      </c>
      <c r="E4" t="s">
        <v>204</v>
      </c>
      <c r="F4" t="s">
        <v>28</v>
      </c>
      <c r="G4" t="s">
        <v>33</v>
      </c>
    </row>
    <row r="5" spans="1:7" x14ac:dyDescent="0.25">
      <c r="A5" t="s">
        <v>201</v>
      </c>
      <c r="B5" t="s">
        <v>202</v>
      </c>
      <c r="C5" t="s">
        <v>41</v>
      </c>
      <c r="D5" t="s">
        <v>40</v>
      </c>
      <c r="E5" t="s">
        <v>204</v>
      </c>
      <c r="F5" t="s">
        <v>28</v>
      </c>
      <c r="G5" t="s">
        <v>33</v>
      </c>
    </row>
    <row r="6" spans="1:7" x14ac:dyDescent="0.25">
      <c r="A6" t="s">
        <v>205</v>
      </c>
      <c r="B6" t="s">
        <v>206</v>
      </c>
      <c r="C6" t="s">
        <v>48</v>
      </c>
      <c r="D6" t="s">
        <v>47</v>
      </c>
      <c r="E6" t="s">
        <v>203</v>
      </c>
      <c r="F6" t="s">
        <v>17</v>
      </c>
      <c r="G6" t="s">
        <v>23</v>
      </c>
    </row>
    <row r="7" spans="1:7" x14ac:dyDescent="0.25">
      <c r="A7" t="s">
        <v>205</v>
      </c>
      <c r="B7" t="s">
        <v>206</v>
      </c>
      <c r="C7" t="s">
        <v>55</v>
      </c>
      <c r="D7" t="s">
        <v>54</v>
      </c>
      <c r="E7" t="s">
        <v>204</v>
      </c>
      <c r="F7" t="s">
        <v>17</v>
      </c>
      <c r="G7" t="s">
        <v>23</v>
      </c>
    </row>
    <row r="8" spans="1:7" x14ac:dyDescent="0.25">
      <c r="A8" t="s">
        <v>205</v>
      </c>
      <c r="B8" t="s">
        <v>206</v>
      </c>
      <c r="C8" t="s">
        <v>61</v>
      </c>
      <c r="D8" t="s">
        <v>60</v>
      </c>
      <c r="E8" t="s">
        <v>204</v>
      </c>
      <c r="F8" t="s">
        <v>28</v>
      </c>
      <c r="G8" t="s">
        <v>33</v>
      </c>
    </row>
    <row r="9" spans="1:7" x14ac:dyDescent="0.25">
      <c r="A9" t="s">
        <v>205</v>
      </c>
      <c r="B9" t="s">
        <v>207</v>
      </c>
      <c r="C9" t="s">
        <v>67</v>
      </c>
      <c r="D9" t="s">
        <v>66</v>
      </c>
      <c r="E9" t="s">
        <v>203</v>
      </c>
      <c r="F9" t="s">
        <v>17</v>
      </c>
      <c r="G9" t="s">
        <v>23</v>
      </c>
    </row>
    <row r="10" spans="1:7" x14ac:dyDescent="0.25">
      <c r="A10" t="s">
        <v>208</v>
      </c>
      <c r="B10" t="s">
        <v>209</v>
      </c>
      <c r="C10" t="s">
        <v>88</v>
      </c>
      <c r="D10" t="s">
        <v>86</v>
      </c>
      <c r="E10" t="s">
        <v>203</v>
      </c>
      <c r="F10" t="s">
        <v>17</v>
      </c>
      <c r="G10" t="s">
        <v>23</v>
      </c>
    </row>
    <row r="11" spans="1:7" x14ac:dyDescent="0.25">
      <c r="A11" t="s">
        <v>208</v>
      </c>
      <c r="B11" t="s">
        <v>210</v>
      </c>
      <c r="C11" t="s">
        <v>101</v>
      </c>
      <c r="D11" t="s">
        <v>100</v>
      </c>
      <c r="E11" t="s">
        <v>204</v>
      </c>
      <c r="F11" t="s">
        <v>28</v>
      </c>
      <c r="G11" t="s">
        <v>33</v>
      </c>
    </row>
    <row r="12" spans="1:7" x14ac:dyDescent="0.25">
      <c r="A12" t="s">
        <v>211</v>
      </c>
      <c r="B12" t="s">
        <v>212</v>
      </c>
      <c r="C12" t="s">
        <v>109</v>
      </c>
      <c r="D12" t="s">
        <v>107</v>
      </c>
      <c r="E12" t="s">
        <v>203</v>
      </c>
      <c r="F12" t="s">
        <v>17</v>
      </c>
      <c r="G12" t="s">
        <v>23</v>
      </c>
    </row>
    <row r="13" spans="1:7" x14ac:dyDescent="0.25">
      <c r="A13" t="s">
        <v>211</v>
      </c>
      <c r="B13" t="s">
        <v>213</v>
      </c>
      <c r="C13" t="s">
        <v>122</v>
      </c>
      <c r="D13" t="s">
        <v>121</v>
      </c>
      <c r="E13" t="s">
        <v>203</v>
      </c>
      <c r="F13" t="s">
        <v>17</v>
      </c>
      <c r="G13" t="s">
        <v>23</v>
      </c>
    </row>
    <row r="14" spans="1:7" x14ac:dyDescent="0.25">
      <c r="A14" t="s">
        <v>211</v>
      </c>
      <c r="B14" t="s">
        <v>214</v>
      </c>
      <c r="C14" t="s">
        <v>129</v>
      </c>
      <c r="D14" t="s">
        <v>128</v>
      </c>
      <c r="E14" t="s">
        <v>203</v>
      </c>
      <c r="F14" t="s">
        <v>17</v>
      </c>
      <c r="G14" t="s">
        <v>23</v>
      </c>
    </row>
    <row r="15" spans="1:7" x14ac:dyDescent="0.25">
      <c r="A15" t="s">
        <v>211</v>
      </c>
      <c r="B15" t="s">
        <v>215</v>
      </c>
      <c r="C15" t="s">
        <v>134</v>
      </c>
      <c r="D15" t="s">
        <v>133</v>
      </c>
      <c r="E15" t="s">
        <v>216</v>
      </c>
      <c r="F15" t="s">
        <v>28</v>
      </c>
      <c r="G15" t="s">
        <v>33</v>
      </c>
    </row>
    <row r="16" spans="1:7" x14ac:dyDescent="0.25">
      <c r="A16" t="s">
        <v>211</v>
      </c>
      <c r="B16" t="s">
        <v>217</v>
      </c>
      <c r="C16" t="s">
        <v>139</v>
      </c>
      <c r="D16" t="s">
        <v>138</v>
      </c>
      <c r="E16" t="s">
        <v>204</v>
      </c>
      <c r="F16" t="s">
        <v>28</v>
      </c>
      <c r="G16" t="s">
        <v>33</v>
      </c>
    </row>
    <row r="17" spans="1:7" x14ac:dyDescent="0.25">
      <c r="A17" t="s">
        <v>218</v>
      </c>
      <c r="B17" t="s">
        <v>219</v>
      </c>
      <c r="C17" t="s">
        <v>146</v>
      </c>
      <c r="D17" t="s">
        <v>144</v>
      </c>
      <c r="E17" t="s">
        <v>203</v>
      </c>
      <c r="F17" t="s">
        <v>17</v>
      </c>
      <c r="G17" t="s">
        <v>23</v>
      </c>
    </row>
    <row r="18" spans="1:7" x14ac:dyDescent="0.25">
      <c r="A18" t="s">
        <v>218</v>
      </c>
      <c r="B18" t="s">
        <v>220</v>
      </c>
      <c r="C18" t="s">
        <v>153</v>
      </c>
      <c r="D18" t="s">
        <v>152</v>
      </c>
      <c r="E18" t="s">
        <v>204</v>
      </c>
      <c r="F18" t="s">
        <v>17</v>
      </c>
      <c r="G18" t="s">
        <v>23</v>
      </c>
    </row>
    <row r="19" spans="1:7" x14ac:dyDescent="0.25">
      <c r="A19" t="s">
        <v>218</v>
      </c>
      <c r="B19" t="s">
        <v>221</v>
      </c>
      <c r="C19" t="s">
        <v>158</v>
      </c>
      <c r="D19" t="s">
        <v>157</v>
      </c>
      <c r="E19" t="s">
        <v>204</v>
      </c>
      <c r="F19" t="s">
        <v>28</v>
      </c>
      <c r="G19" t="s">
        <v>33</v>
      </c>
    </row>
    <row r="20" spans="1:7" x14ac:dyDescent="0.25">
      <c r="A20" t="s">
        <v>218</v>
      </c>
      <c r="B20" t="s">
        <v>222</v>
      </c>
      <c r="C20" t="s">
        <v>164</v>
      </c>
      <c r="D20" t="s">
        <v>163</v>
      </c>
      <c r="E20" t="s">
        <v>204</v>
      </c>
      <c r="F20" t="s">
        <v>28</v>
      </c>
      <c r="G20" t="s">
        <v>33</v>
      </c>
    </row>
    <row r="21" spans="1:7" x14ac:dyDescent="0.25">
      <c r="A21" t="s">
        <v>223</v>
      </c>
      <c r="B21" t="s">
        <v>224</v>
      </c>
      <c r="C21" t="s">
        <v>170</v>
      </c>
      <c r="D21" t="s">
        <v>168</v>
      </c>
      <c r="E21" t="s">
        <v>203</v>
      </c>
      <c r="F21" t="s">
        <v>17</v>
      </c>
      <c r="G21" t="s">
        <v>23</v>
      </c>
    </row>
    <row r="22" spans="1:7" x14ac:dyDescent="0.25">
      <c r="A22" t="s">
        <v>223</v>
      </c>
      <c r="B22" t="s">
        <v>225</v>
      </c>
      <c r="C22" t="s">
        <v>177</v>
      </c>
      <c r="D22" t="s">
        <v>176</v>
      </c>
      <c r="E22" t="s">
        <v>204</v>
      </c>
      <c r="F22" t="s">
        <v>28</v>
      </c>
      <c r="G22" t="s">
        <v>33</v>
      </c>
    </row>
    <row r="23" spans="1:7" x14ac:dyDescent="0.25">
      <c r="A23" t="s">
        <v>223</v>
      </c>
      <c r="B23" t="s">
        <v>226</v>
      </c>
      <c r="C23" t="s">
        <v>182</v>
      </c>
      <c r="D23" t="s">
        <v>181</v>
      </c>
      <c r="E23" t="s">
        <v>203</v>
      </c>
      <c r="F23" t="s">
        <v>17</v>
      </c>
      <c r="G23" t="s">
        <v>33</v>
      </c>
    </row>
    <row r="24" spans="1:7" x14ac:dyDescent="0.25">
      <c r="A24" t="s">
        <v>227</v>
      </c>
      <c r="B24" t="s">
        <v>228</v>
      </c>
      <c r="C24" t="s">
        <v>74</v>
      </c>
      <c r="D24" t="s">
        <v>73</v>
      </c>
      <c r="E24" t="s">
        <v>229</v>
      </c>
      <c r="F24" t="s">
        <v>17</v>
      </c>
      <c r="G24" t="s">
        <v>33</v>
      </c>
    </row>
    <row r="25" spans="1:7" x14ac:dyDescent="0.25">
      <c r="A25" t="s">
        <v>227</v>
      </c>
      <c r="B25" t="s">
        <v>230</v>
      </c>
      <c r="C25" t="s">
        <v>189</v>
      </c>
      <c r="D25" t="s">
        <v>188</v>
      </c>
      <c r="E25" t="s">
        <v>229</v>
      </c>
      <c r="F25" t="s">
        <v>17</v>
      </c>
      <c r="G25" t="s">
        <v>33</v>
      </c>
    </row>
    <row r="26" spans="1:7" x14ac:dyDescent="0.25">
      <c r="A26" t="s">
        <v>231</v>
      </c>
      <c r="B26" t="s">
        <v>232</v>
      </c>
      <c r="C26" t="s">
        <v>80</v>
      </c>
      <c r="D26" t="s">
        <v>79</v>
      </c>
      <c r="E26" t="s">
        <v>216</v>
      </c>
      <c r="F26" t="s">
        <v>28</v>
      </c>
      <c r="G26" t="s">
        <v>33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34253-F119-435D-B462-DFDF5C3C92CB}">
  <sheetPr>
    <tabColor theme="7"/>
  </sheetPr>
  <dimension ref="A1:P28"/>
  <sheetViews>
    <sheetView topLeftCell="G1" workbookViewId="0">
      <selection activeCell="G21" sqref="A21:XFD21"/>
    </sheetView>
  </sheetViews>
  <sheetFormatPr defaultRowHeight="15" x14ac:dyDescent="0.25"/>
  <cols>
    <col min="1" max="1" width="8.28515625" bestFit="1" customWidth="1"/>
    <col min="2" max="2" width="16.85546875" bestFit="1" customWidth="1"/>
    <col min="3" max="3" width="13.5703125" customWidth="1"/>
    <col min="4" max="4" width="40.85546875" bestFit="1" customWidth="1"/>
    <col min="5" max="5" width="9.7109375" customWidth="1"/>
    <col min="6" max="6" width="34.140625" bestFit="1" customWidth="1"/>
    <col min="7" max="7" width="31.85546875" bestFit="1" customWidth="1"/>
    <col min="8" max="8" width="48.28515625" customWidth="1"/>
    <col min="9" max="9" width="60" bestFit="1" customWidth="1"/>
    <col min="10" max="10" width="16.5703125" customWidth="1"/>
    <col min="11" max="11" width="12.140625" customWidth="1"/>
    <col min="13" max="13" width="15" customWidth="1"/>
    <col min="14" max="14" width="14.42578125" customWidth="1"/>
    <col min="15" max="15" width="11.42578125" customWidth="1"/>
    <col min="16" max="16" width="39.5703125" bestFit="1" customWidth="1"/>
  </cols>
  <sheetData>
    <row r="1" spans="1:16" s="1" customFormat="1" ht="42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233</v>
      </c>
      <c r="N1" s="1" t="s">
        <v>234</v>
      </c>
      <c r="O1" s="1" t="s">
        <v>235</v>
      </c>
      <c r="P1" s="1" t="s">
        <v>12</v>
      </c>
    </row>
    <row r="2" spans="1:16" s="1" customFormat="1" ht="30" x14ac:dyDescent="0.25">
      <c r="A2" s="1" t="s">
        <v>13</v>
      </c>
      <c r="B2" s="1" t="s">
        <v>14</v>
      </c>
      <c r="C2" s="1" t="s">
        <v>15</v>
      </c>
      <c r="D2" s="1" t="s">
        <v>16</v>
      </c>
      <c r="E2" s="1" t="s">
        <v>17</v>
      </c>
      <c r="F2" s="1" t="s">
        <v>18</v>
      </c>
      <c r="G2" s="1" t="s">
        <v>19</v>
      </c>
      <c r="H2" s="1" t="s">
        <v>20</v>
      </c>
      <c r="I2" s="1" t="s">
        <v>21</v>
      </c>
      <c r="J2" s="1" t="s">
        <v>22</v>
      </c>
      <c r="K2" s="1" t="s">
        <v>23</v>
      </c>
      <c r="L2" s="1" t="s">
        <v>244</v>
      </c>
      <c r="M2" t="s">
        <v>236</v>
      </c>
      <c r="N2" s="1" t="s">
        <v>242</v>
      </c>
      <c r="P2" s="1" t="s">
        <v>24</v>
      </c>
    </row>
    <row r="3" spans="1:16" s="1" customFormat="1" ht="30" x14ac:dyDescent="0.25">
      <c r="A3" s="1" t="s">
        <v>25</v>
      </c>
      <c r="B3" s="1" t="s">
        <v>14</v>
      </c>
      <c r="C3" s="1" t="s">
        <v>26</v>
      </c>
      <c r="D3" s="1" t="s">
        <v>27</v>
      </c>
      <c r="E3" s="1" t="s">
        <v>28</v>
      </c>
      <c r="F3" s="1" t="s">
        <v>29</v>
      </c>
      <c r="G3" s="1" t="s">
        <v>30</v>
      </c>
      <c r="H3" s="1" t="s">
        <v>31</v>
      </c>
      <c r="I3" s="1" t="s">
        <v>32</v>
      </c>
      <c r="J3" s="1" t="s">
        <v>22</v>
      </c>
      <c r="K3" s="1" t="s">
        <v>33</v>
      </c>
      <c r="L3" s="1" t="s">
        <v>244</v>
      </c>
      <c r="M3" t="s">
        <v>237</v>
      </c>
      <c r="N3" s="1" t="s">
        <v>243</v>
      </c>
    </row>
    <row r="4" spans="1:16" s="1" customFormat="1" ht="30" x14ac:dyDescent="0.25">
      <c r="A4" s="1" t="s">
        <v>34</v>
      </c>
      <c r="B4" s="1" t="s">
        <v>14</v>
      </c>
      <c r="C4" s="1" t="s">
        <v>35</v>
      </c>
      <c r="D4" s="1" t="s">
        <v>36</v>
      </c>
      <c r="E4" s="1" t="s">
        <v>28</v>
      </c>
      <c r="F4" s="1" t="s">
        <v>18</v>
      </c>
      <c r="G4" s="1" t="s">
        <v>37</v>
      </c>
      <c r="H4" s="1" t="s">
        <v>38</v>
      </c>
      <c r="I4" s="1" t="s">
        <v>39</v>
      </c>
      <c r="J4" s="1" t="s">
        <v>22</v>
      </c>
      <c r="K4" s="1" t="s">
        <v>33</v>
      </c>
      <c r="L4" s="1" t="s">
        <v>244</v>
      </c>
      <c r="M4" t="s">
        <v>238</v>
      </c>
      <c r="N4" s="1" t="s">
        <v>242</v>
      </c>
    </row>
    <row r="5" spans="1:16" s="1" customFormat="1" ht="30" x14ac:dyDescent="0.25">
      <c r="A5" s="1" t="s">
        <v>40</v>
      </c>
      <c r="B5" s="1" t="s">
        <v>14</v>
      </c>
      <c r="C5" s="1" t="s">
        <v>41</v>
      </c>
      <c r="D5" s="1" t="s">
        <v>42</v>
      </c>
      <c r="E5" s="1" t="s">
        <v>28</v>
      </c>
      <c r="F5" s="1" t="s">
        <v>18</v>
      </c>
      <c r="G5" s="1" t="s">
        <v>43</v>
      </c>
      <c r="H5" s="1" t="s">
        <v>44</v>
      </c>
      <c r="I5" s="1" t="s">
        <v>45</v>
      </c>
      <c r="J5" s="1" t="s">
        <v>22</v>
      </c>
      <c r="K5" s="1" t="s">
        <v>33</v>
      </c>
      <c r="L5" s="1" t="s">
        <v>244</v>
      </c>
      <c r="M5" t="s">
        <v>239</v>
      </c>
      <c r="N5" s="1" t="s">
        <v>243</v>
      </c>
      <c r="P5" s="1" t="s">
        <v>46</v>
      </c>
    </row>
    <row r="6" spans="1:16" s="1" customFormat="1" ht="30" x14ac:dyDescent="0.25">
      <c r="A6" s="1" t="s">
        <v>47</v>
      </c>
      <c r="B6" s="1" t="s">
        <v>14</v>
      </c>
      <c r="C6" s="1" t="s">
        <v>48</v>
      </c>
      <c r="D6" s="1" t="s">
        <v>49</v>
      </c>
      <c r="E6" s="1" t="s">
        <v>17</v>
      </c>
      <c r="F6" s="1" t="s">
        <v>50</v>
      </c>
      <c r="G6" s="1" t="s">
        <v>51</v>
      </c>
      <c r="H6" s="1" t="s">
        <v>52</v>
      </c>
      <c r="I6" s="1" t="s">
        <v>53</v>
      </c>
      <c r="J6" s="1" t="s">
        <v>22</v>
      </c>
      <c r="K6" s="1" t="s">
        <v>23</v>
      </c>
      <c r="L6" s="1" t="s">
        <v>244</v>
      </c>
      <c r="M6" t="s">
        <v>240</v>
      </c>
      <c r="N6" s="1" t="s">
        <v>242</v>
      </c>
    </row>
    <row r="7" spans="1:16" s="1" customFormat="1" ht="30" x14ac:dyDescent="0.25">
      <c r="A7" s="1" t="s">
        <v>54</v>
      </c>
      <c r="B7" s="1" t="s">
        <v>14</v>
      </c>
      <c r="C7" s="1" t="s">
        <v>55</v>
      </c>
      <c r="D7" s="1" t="s">
        <v>56</v>
      </c>
      <c r="E7" s="1" t="s">
        <v>17</v>
      </c>
      <c r="F7" s="1" t="s">
        <v>50</v>
      </c>
      <c r="G7" s="1" t="s">
        <v>57</v>
      </c>
      <c r="H7" s="1" t="s">
        <v>58</v>
      </c>
      <c r="I7" s="1" t="s">
        <v>59</v>
      </c>
      <c r="J7" s="1" t="s">
        <v>22</v>
      </c>
      <c r="K7" s="1" t="s">
        <v>23</v>
      </c>
      <c r="L7" s="1" t="s">
        <v>244</v>
      </c>
      <c r="M7" t="s">
        <v>241</v>
      </c>
      <c r="N7" s="1" t="s">
        <v>243</v>
      </c>
    </row>
    <row r="8" spans="1:16" s="1" customFormat="1" ht="30" x14ac:dyDescent="0.25">
      <c r="A8" s="1" t="s">
        <v>60</v>
      </c>
      <c r="B8" s="1" t="s">
        <v>14</v>
      </c>
      <c r="C8" s="1" t="s">
        <v>61</v>
      </c>
      <c r="D8" s="1" t="s">
        <v>62</v>
      </c>
      <c r="E8" s="1" t="s">
        <v>28</v>
      </c>
      <c r="F8" s="1" t="s">
        <v>63</v>
      </c>
      <c r="G8" s="1" t="s">
        <v>64</v>
      </c>
      <c r="H8" s="1" t="s">
        <v>65</v>
      </c>
      <c r="I8" s="1" t="s">
        <v>59</v>
      </c>
      <c r="J8" s="1" t="s">
        <v>22</v>
      </c>
      <c r="K8" s="1" t="s">
        <v>33</v>
      </c>
      <c r="L8" s="1" t="s">
        <v>244</v>
      </c>
      <c r="M8" t="s">
        <v>236</v>
      </c>
      <c r="N8" s="1" t="s">
        <v>242</v>
      </c>
    </row>
    <row r="9" spans="1:16" s="1" customFormat="1" x14ac:dyDescent="0.25">
      <c r="A9" s="1" t="s">
        <v>66</v>
      </c>
      <c r="B9" s="1" t="s">
        <v>14</v>
      </c>
      <c r="C9" s="1" t="s">
        <v>67</v>
      </c>
      <c r="D9" s="1" t="s">
        <v>68</v>
      </c>
      <c r="E9" s="1" t="s">
        <v>17</v>
      </c>
      <c r="F9" s="1" t="s">
        <v>69</v>
      </c>
      <c r="G9" s="1" t="s">
        <v>70</v>
      </c>
      <c r="H9" s="1" t="s">
        <v>71</v>
      </c>
      <c r="I9" s="1" t="s">
        <v>72</v>
      </c>
      <c r="J9" s="1" t="s">
        <v>22</v>
      </c>
      <c r="K9" s="1" t="s">
        <v>23</v>
      </c>
      <c r="L9" s="1" t="s">
        <v>244</v>
      </c>
      <c r="M9" t="s">
        <v>237</v>
      </c>
      <c r="N9" s="1" t="s">
        <v>243</v>
      </c>
    </row>
    <row r="10" spans="1:16" s="1" customFormat="1" x14ac:dyDescent="0.25">
      <c r="A10" s="1" t="s">
        <v>73</v>
      </c>
      <c r="B10" s="1" t="s">
        <v>14</v>
      </c>
      <c r="C10" s="1" t="s">
        <v>74</v>
      </c>
      <c r="D10" s="1" t="s">
        <v>75</v>
      </c>
      <c r="E10" s="1" t="s">
        <v>17</v>
      </c>
      <c r="F10" s="1" t="s">
        <v>76</v>
      </c>
      <c r="G10" s="1" t="s">
        <v>70</v>
      </c>
      <c r="H10" s="1" t="s">
        <v>77</v>
      </c>
      <c r="I10" s="1" t="s">
        <v>78</v>
      </c>
      <c r="J10" s="1" t="s">
        <v>22</v>
      </c>
      <c r="K10" s="1" t="s">
        <v>33</v>
      </c>
      <c r="L10" s="1" t="s">
        <v>244</v>
      </c>
      <c r="M10" t="s">
        <v>238</v>
      </c>
      <c r="N10" s="1" t="s">
        <v>242</v>
      </c>
    </row>
    <row r="11" spans="1:16" s="1" customFormat="1" ht="30" x14ac:dyDescent="0.25">
      <c r="A11" s="1" t="s">
        <v>79</v>
      </c>
      <c r="B11" s="1" t="s">
        <v>14</v>
      </c>
      <c r="C11" s="1" t="s">
        <v>80</v>
      </c>
      <c r="D11" s="1" t="s">
        <v>81</v>
      </c>
      <c r="E11" s="1" t="s">
        <v>28</v>
      </c>
      <c r="F11" s="1" t="s">
        <v>82</v>
      </c>
      <c r="G11" s="1" t="s">
        <v>70</v>
      </c>
      <c r="H11" s="1" t="s">
        <v>83</v>
      </c>
      <c r="I11" s="1" t="s">
        <v>84</v>
      </c>
      <c r="J11" s="1" t="s">
        <v>22</v>
      </c>
      <c r="K11" s="1" t="s">
        <v>33</v>
      </c>
      <c r="L11" s="1" t="s">
        <v>244</v>
      </c>
      <c r="M11" t="s">
        <v>239</v>
      </c>
      <c r="N11" s="1" t="s">
        <v>243</v>
      </c>
      <c r="P11" s="1" t="s">
        <v>85</v>
      </c>
    </row>
    <row r="12" spans="1:16" s="1" customFormat="1" x14ac:dyDescent="0.25">
      <c r="A12" s="1" t="s">
        <v>86</v>
      </c>
      <c r="B12" s="1" t="s">
        <v>87</v>
      </c>
      <c r="C12" s="1" t="s">
        <v>88</v>
      </c>
      <c r="D12" s="1" t="s">
        <v>89</v>
      </c>
      <c r="E12" s="1" t="s">
        <v>17</v>
      </c>
      <c r="F12" s="1" t="s">
        <v>69</v>
      </c>
      <c r="G12" s="1" t="s">
        <v>90</v>
      </c>
      <c r="H12" s="1" t="s">
        <v>91</v>
      </c>
      <c r="I12" s="1" t="s">
        <v>92</v>
      </c>
      <c r="J12" s="1" t="s">
        <v>22</v>
      </c>
      <c r="K12" s="1" t="s">
        <v>23</v>
      </c>
      <c r="L12" s="1" t="s">
        <v>244</v>
      </c>
      <c r="M12" t="s">
        <v>240</v>
      </c>
      <c r="N12" s="1" t="s">
        <v>242</v>
      </c>
    </row>
    <row r="13" spans="1:16" s="1" customFormat="1" ht="30" x14ac:dyDescent="0.25">
      <c r="A13" s="1" t="s">
        <v>93</v>
      </c>
      <c r="B13" s="1" t="s">
        <v>87</v>
      </c>
      <c r="C13" s="1" t="s">
        <v>94</v>
      </c>
      <c r="D13" s="1" t="s">
        <v>95</v>
      </c>
      <c r="E13" s="1" t="s">
        <v>96</v>
      </c>
      <c r="F13" s="1" t="s">
        <v>69</v>
      </c>
      <c r="G13" s="1" t="s">
        <v>97</v>
      </c>
      <c r="H13" s="1" t="s">
        <v>98</v>
      </c>
      <c r="I13" s="1" t="s">
        <v>99</v>
      </c>
      <c r="J13" s="1" t="s">
        <v>22</v>
      </c>
      <c r="K13" s="1" t="s">
        <v>33</v>
      </c>
      <c r="L13" s="1" t="s">
        <v>244</v>
      </c>
      <c r="M13" t="s">
        <v>241</v>
      </c>
      <c r="N13" s="1" t="s">
        <v>243</v>
      </c>
    </row>
    <row r="14" spans="1:16" s="1" customFormat="1" x14ac:dyDescent="0.25">
      <c r="A14" s="1" t="s">
        <v>100</v>
      </c>
      <c r="B14" s="1" t="s">
        <v>87</v>
      </c>
      <c r="C14" s="1" t="s">
        <v>101</v>
      </c>
      <c r="D14" s="1" t="s">
        <v>102</v>
      </c>
      <c r="E14" s="1" t="s">
        <v>28</v>
      </c>
      <c r="F14" s="1" t="s">
        <v>69</v>
      </c>
      <c r="G14" s="1" t="s">
        <v>103</v>
      </c>
      <c r="H14" s="1" t="s">
        <v>104</v>
      </c>
      <c r="I14" s="1" t="s">
        <v>105</v>
      </c>
      <c r="J14" s="1" t="s">
        <v>22</v>
      </c>
      <c r="K14" s="1" t="s">
        <v>33</v>
      </c>
      <c r="L14" s="1" t="s">
        <v>244</v>
      </c>
      <c r="M14" t="s">
        <v>236</v>
      </c>
      <c r="N14" s="1" t="s">
        <v>242</v>
      </c>
      <c r="P14" s="1" t="s">
        <v>106</v>
      </c>
    </row>
    <row r="15" spans="1:16" s="1" customFormat="1" x14ac:dyDescent="0.25">
      <c r="A15" s="1" t="s">
        <v>107</v>
      </c>
      <c r="B15" s="1" t="s">
        <v>108</v>
      </c>
      <c r="C15" s="1" t="s">
        <v>109</v>
      </c>
      <c r="D15" s="1" t="s">
        <v>110</v>
      </c>
      <c r="E15" s="1" t="s">
        <v>17</v>
      </c>
      <c r="F15" s="1" t="s">
        <v>111</v>
      </c>
      <c r="G15" s="1" t="s">
        <v>112</v>
      </c>
      <c r="H15" s="1" t="s">
        <v>113</v>
      </c>
      <c r="I15" s="1" t="s">
        <v>114</v>
      </c>
      <c r="J15" s="1" t="s">
        <v>22</v>
      </c>
      <c r="K15" s="1" t="s">
        <v>23</v>
      </c>
      <c r="L15" s="1" t="s">
        <v>244</v>
      </c>
      <c r="M15" t="s">
        <v>237</v>
      </c>
      <c r="N15" s="1" t="s">
        <v>243</v>
      </c>
    </row>
    <row r="16" spans="1:16" s="1" customFormat="1" x14ac:dyDescent="0.25">
      <c r="A16" s="1" t="s">
        <v>115</v>
      </c>
      <c r="B16" s="1" t="s">
        <v>108</v>
      </c>
      <c r="C16" s="1" t="s">
        <v>116</v>
      </c>
      <c r="D16" s="1" t="s">
        <v>117</v>
      </c>
      <c r="E16" s="1" t="s">
        <v>28</v>
      </c>
      <c r="F16" s="1" t="s">
        <v>111</v>
      </c>
      <c r="G16" s="1" t="s">
        <v>112</v>
      </c>
      <c r="H16" s="1" t="s">
        <v>118</v>
      </c>
      <c r="I16" s="1" t="s">
        <v>119</v>
      </c>
      <c r="J16" s="1" t="s">
        <v>22</v>
      </c>
      <c r="K16" s="1" t="s">
        <v>33</v>
      </c>
      <c r="L16" s="1" t="s">
        <v>244</v>
      </c>
      <c r="M16" t="s">
        <v>238</v>
      </c>
      <c r="N16" s="1" t="s">
        <v>242</v>
      </c>
      <c r="P16" s="1" t="s">
        <v>120</v>
      </c>
    </row>
    <row r="17" spans="1:16" s="1" customFormat="1" x14ac:dyDescent="0.25">
      <c r="A17" s="1" t="s">
        <v>121</v>
      </c>
      <c r="B17" s="1" t="s">
        <v>108</v>
      </c>
      <c r="C17" s="1" t="s">
        <v>122</v>
      </c>
      <c r="D17" s="1" t="s">
        <v>123</v>
      </c>
      <c r="E17" s="1" t="s">
        <v>17</v>
      </c>
      <c r="F17" s="1" t="s">
        <v>124</v>
      </c>
      <c r="G17" s="1" t="s">
        <v>125</v>
      </c>
      <c r="H17" s="1" t="s">
        <v>126</v>
      </c>
      <c r="I17" s="1" t="s">
        <v>127</v>
      </c>
      <c r="J17" s="1" t="s">
        <v>22</v>
      </c>
      <c r="K17" s="1" t="s">
        <v>23</v>
      </c>
      <c r="L17" s="1" t="s">
        <v>244</v>
      </c>
      <c r="M17" t="s">
        <v>239</v>
      </c>
      <c r="N17" s="1" t="s">
        <v>243</v>
      </c>
    </row>
    <row r="18" spans="1:16" s="1" customFormat="1" x14ac:dyDescent="0.25">
      <c r="A18" s="1" t="s">
        <v>128</v>
      </c>
      <c r="B18" s="1" t="s">
        <v>108</v>
      </c>
      <c r="C18" s="1" t="s">
        <v>129</v>
      </c>
      <c r="D18" s="1" t="s">
        <v>130</v>
      </c>
      <c r="E18" s="1" t="s">
        <v>17</v>
      </c>
      <c r="F18" s="1" t="s">
        <v>124</v>
      </c>
      <c r="G18" s="1" t="s">
        <v>112</v>
      </c>
      <c r="H18" s="1" t="s">
        <v>131</v>
      </c>
      <c r="I18" s="1" t="s">
        <v>132</v>
      </c>
      <c r="J18" s="1" t="s">
        <v>22</v>
      </c>
      <c r="K18" s="1" t="s">
        <v>23</v>
      </c>
      <c r="L18" s="1" t="s">
        <v>244</v>
      </c>
      <c r="M18" t="s">
        <v>240</v>
      </c>
      <c r="N18" s="1" t="s">
        <v>242</v>
      </c>
    </row>
    <row r="19" spans="1:16" s="1" customFormat="1" ht="30" x14ac:dyDescent="0.25">
      <c r="A19" s="1" t="s">
        <v>133</v>
      </c>
      <c r="B19" s="1" t="s">
        <v>108</v>
      </c>
      <c r="C19" s="1" t="s">
        <v>134</v>
      </c>
      <c r="D19" s="1" t="s">
        <v>135</v>
      </c>
      <c r="E19" s="1" t="s">
        <v>28</v>
      </c>
      <c r="F19" s="1" t="s">
        <v>124</v>
      </c>
      <c r="G19" s="1" t="s">
        <v>112</v>
      </c>
      <c r="H19" s="1" t="s">
        <v>136</v>
      </c>
      <c r="I19" s="1" t="s">
        <v>137</v>
      </c>
      <c r="J19" s="1" t="s">
        <v>22</v>
      </c>
      <c r="K19" s="1" t="s">
        <v>33</v>
      </c>
      <c r="L19" s="1" t="s">
        <v>244</v>
      </c>
      <c r="M19" t="s">
        <v>241</v>
      </c>
      <c r="N19" s="1" t="s">
        <v>243</v>
      </c>
    </row>
    <row r="20" spans="1:16" s="1" customFormat="1" x14ac:dyDescent="0.25">
      <c r="A20" s="1" t="s">
        <v>138</v>
      </c>
      <c r="B20" s="1" t="s">
        <v>108</v>
      </c>
      <c r="C20" s="1" t="s">
        <v>139</v>
      </c>
      <c r="D20" s="1" t="s">
        <v>140</v>
      </c>
      <c r="E20" s="1" t="s">
        <v>28</v>
      </c>
      <c r="F20" s="1" t="s">
        <v>141</v>
      </c>
      <c r="G20" s="1" t="s">
        <v>70</v>
      </c>
      <c r="H20" s="1" t="s">
        <v>142</v>
      </c>
      <c r="I20" s="1" t="s">
        <v>143</v>
      </c>
      <c r="J20" s="1" t="s">
        <v>22</v>
      </c>
      <c r="K20" s="1" t="s">
        <v>33</v>
      </c>
      <c r="L20" s="1" t="s">
        <v>244</v>
      </c>
      <c r="M20" t="s">
        <v>236</v>
      </c>
      <c r="N20" s="1" t="s">
        <v>242</v>
      </c>
    </row>
    <row r="21" spans="1:16" s="1" customFormat="1" ht="30" x14ac:dyDescent="0.25">
      <c r="A21" s="1" t="s">
        <v>144</v>
      </c>
      <c r="B21" s="1" t="s">
        <v>145</v>
      </c>
      <c r="C21" s="1" t="s">
        <v>146</v>
      </c>
      <c r="D21" s="1" t="s">
        <v>147</v>
      </c>
      <c r="E21" s="1" t="s">
        <v>17</v>
      </c>
      <c r="F21" s="1" t="s">
        <v>148</v>
      </c>
      <c r="G21" s="1" t="s">
        <v>149</v>
      </c>
      <c r="H21" s="1" t="s">
        <v>150</v>
      </c>
      <c r="I21" s="1" t="s">
        <v>151</v>
      </c>
      <c r="J21" s="1" t="s">
        <v>22</v>
      </c>
      <c r="K21" s="1" t="s">
        <v>23</v>
      </c>
      <c r="L21" s="1" t="s">
        <v>245</v>
      </c>
      <c r="M21" t="s">
        <v>237</v>
      </c>
      <c r="N21" s="1" t="s">
        <v>243</v>
      </c>
      <c r="O21" s="1" t="s">
        <v>246</v>
      </c>
      <c r="P21" s="1" t="s">
        <v>247</v>
      </c>
    </row>
    <row r="22" spans="1:16" s="1" customFormat="1" x14ac:dyDescent="0.25">
      <c r="A22" s="1" t="s">
        <v>152</v>
      </c>
      <c r="B22" s="1" t="s">
        <v>145</v>
      </c>
      <c r="C22" s="1" t="s">
        <v>153</v>
      </c>
      <c r="D22" s="1" t="s">
        <v>154</v>
      </c>
      <c r="E22" s="1" t="s">
        <v>17</v>
      </c>
      <c r="F22" s="1" t="s">
        <v>141</v>
      </c>
      <c r="G22" s="1" t="s">
        <v>70</v>
      </c>
      <c r="H22" s="1" t="s">
        <v>155</v>
      </c>
      <c r="I22" s="1" t="s">
        <v>156</v>
      </c>
      <c r="J22" s="1" t="s">
        <v>22</v>
      </c>
      <c r="K22" s="1" t="s">
        <v>23</v>
      </c>
      <c r="L22" s="1" t="s">
        <v>244</v>
      </c>
      <c r="M22" t="s">
        <v>238</v>
      </c>
      <c r="N22" s="1" t="s">
        <v>242</v>
      </c>
    </row>
    <row r="23" spans="1:16" s="1" customFormat="1" ht="30" x14ac:dyDescent="0.25">
      <c r="A23" s="1" t="s">
        <v>157</v>
      </c>
      <c r="B23" s="1" t="s">
        <v>145</v>
      </c>
      <c r="C23" s="1" t="s">
        <v>158</v>
      </c>
      <c r="D23" s="1" t="s">
        <v>159</v>
      </c>
      <c r="E23" s="1" t="s">
        <v>28</v>
      </c>
      <c r="F23" s="1" t="s">
        <v>148</v>
      </c>
      <c r="G23" s="1" t="s">
        <v>160</v>
      </c>
      <c r="H23" s="1" t="s">
        <v>161</v>
      </c>
      <c r="I23" s="1" t="s">
        <v>162</v>
      </c>
      <c r="J23" s="1" t="s">
        <v>22</v>
      </c>
      <c r="K23" s="1" t="s">
        <v>33</v>
      </c>
      <c r="L23" s="1" t="s">
        <v>244</v>
      </c>
      <c r="M23"/>
      <c r="N23" s="1" t="s">
        <v>243</v>
      </c>
    </row>
    <row r="24" spans="1:16" s="1" customFormat="1" ht="30" x14ac:dyDescent="0.25">
      <c r="A24" s="1" t="s">
        <v>163</v>
      </c>
      <c r="B24" s="1" t="s">
        <v>145</v>
      </c>
      <c r="C24" s="1" t="s">
        <v>164</v>
      </c>
      <c r="D24" s="1" t="s">
        <v>165</v>
      </c>
      <c r="E24" s="1" t="s">
        <v>28</v>
      </c>
      <c r="F24" s="1" t="s">
        <v>148</v>
      </c>
      <c r="G24" s="1" t="s">
        <v>112</v>
      </c>
      <c r="H24" s="1" t="s">
        <v>166</v>
      </c>
      <c r="I24" s="1" t="s">
        <v>167</v>
      </c>
      <c r="J24" s="1" t="s">
        <v>22</v>
      </c>
      <c r="K24" s="1" t="s">
        <v>33</v>
      </c>
      <c r="L24" s="1" t="s">
        <v>244</v>
      </c>
      <c r="M24" t="s">
        <v>240</v>
      </c>
      <c r="N24" s="1" t="s">
        <v>242</v>
      </c>
    </row>
    <row r="25" spans="1:16" s="1" customFormat="1" ht="30" x14ac:dyDescent="0.25">
      <c r="A25" s="1" t="s">
        <v>168</v>
      </c>
      <c r="B25" s="1" t="s">
        <v>169</v>
      </c>
      <c r="C25" s="1" t="s">
        <v>170</v>
      </c>
      <c r="D25" s="1" t="s">
        <v>171</v>
      </c>
      <c r="E25" s="1" t="s">
        <v>17</v>
      </c>
      <c r="F25" s="1" t="s">
        <v>172</v>
      </c>
      <c r="G25" s="1" t="s">
        <v>173</v>
      </c>
      <c r="H25" s="1" t="s">
        <v>174</v>
      </c>
      <c r="I25" s="1" t="s">
        <v>175</v>
      </c>
      <c r="J25" s="1" t="s">
        <v>22</v>
      </c>
      <c r="K25" s="1" t="s">
        <v>23</v>
      </c>
      <c r="L25" s="1" t="s">
        <v>249</v>
      </c>
      <c r="M25" t="s">
        <v>241</v>
      </c>
      <c r="N25" s="1" t="s">
        <v>243</v>
      </c>
      <c r="O25" s="1" t="s">
        <v>250</v>
      </c>
      <c r="P25" s="1" t="s">
        <v>248</v>
      </c>
    </row>
    <row r="26" spans="1:16" s="1" customFormat="1" x14ac:dyDescent="0.25">
      <c r="A26" s="1" t="s">
        <v>176</v>
      </c>
      <c r="B26" s="1" t="s">
        <v>169</v>
      </c>
      <c r="C26" s="1" t="s">
        <v>177</v>
      </c>
      <c r="D26" s="1" t="s">
        <v>178</v>
      </c>
      <c r="E26" s="1" t="s">
        <v>28</v>
      </c>
      <c r="F26" s="1" t="s">
        <v>179</v>
      </c>
      <c r="G26" s="1" t="s">
        <v>70</v>
      </c>
      <c r="H26" s="1" t="s">
        <v>180</v>
      </c>
      <c r="I26" s="1" t="s">
        <v>99</v>
      </c>
      <c r="J26" s="1" t="s">
        <v>22</v>
      </c>
      <c r="K26" s="1" t="s">
        <v>33</v>
      </c>
      <c r="L26" s="1" t="s">
        <v>244</v>
      </c>
      <c r="M26" t="s">
        <v>236</v>
      </c>
      <c r="N26" s="1" t="s">
        <v>242</v>
      </c>
    </row>
    <row r="27" spans="1:16" s="1" customFormat="1" ht="30" x14ac:dyDescent="0.25">
      <c r="A27" s="1" t="s">
        <v>181</v>
      </c>
      <c r="B27" s="1" t="s">
        <v>169</v>
      </c>
      <c r="C27" s="1" t="s">
        <v>182</v>
      </c>
      <c r="D27" s="1" t="s">
        <v>183</v>
      </c>
      <c r="E27" s="1" t="s">
        <v>17</v>
      </c>
      <c r="F27" s="1" t="s">
        <v>184</v>
      </c>
      <c r="G27" s="1" t="s">
        <v>185</v>
      </c>
      <c r="H27" s="1" t="s">
        <v>186</v>
      </c>
      <c r="I27" s="1" t="s">
        <v>187</v>
      </c>
      <c r="J27" s="1" t="s">
        <v>22</v>
      </c>
      <c r="K27" s="1" t="s">
        <v>33</v>
      </c>
      <c r="L27" s="1" t="s">
        <v>244</v>
      </c>
      <c r="M27" t="s">
        <v>237</v>
      </c>
      <c r="N27" s="1" t="s">
        <v>243</v>
      </c>
    </row>
    <row r="28" spans="1:16" s="1" customFormat="1" x14ac:dyDescent="0.25">
      <c r="A28" s="1" t="s">
        <v>188</v>
      </c>
      <c r="B28" s="1" t="s">
        <v>169</v>
      </c>
      <c r="C28" s="1" t="s">
        <v>189</v>
      </c>
      <c r="D28" s="1" t="s">
        <v>190</v>
      </c>
      <c r="E28" s="1" t="s">
        <v>17</v>
      </c>
      <c r="F28" s="1" t="s">
        <v>76</v>
      </c>
      <c r="G28" s="1" t="s">
        <v>70</v>
      </c>
      <c r="H28" s="1" t="s">
        <v>191</v>
      </c>
      <c r="I28" s="1" t="s">
        <v>192</v>
      </c>
      <c r="J28" s="1" t="s">
        <v>22</v>
      </c>
      <c r="K28" s="1" t="s">
        <v>33</v>
      </c>
      <c r="L28" s="1" t="s">
        <v>244</v>
      </c>
      <c r="M28" t="s">
        <v>238</v>
      </c>
      <c r="N28" s="1" t="s">
        <v>242</v>
      </c>
    </row>
  </sheetData>
  <conditionalFormatting sqref="A2:P28">
    <cfRule type="cellIs" dxfId="21" priority="1" operator="equal">
      <formula>"Blocked"</formula>
    </cfRule>
    <cfRule type="cellIs" dxfId="20" priority="2" operator="equal">
      <formula>"Failed"</formula>
    </cfRule>
    <cfRule type="cellIs" dxfId="19" priority="3" operator="equal">
      <formula>"Passed"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5D786-CEB0-430A-896D-496213B63F35}">
  <sheetPr>
    <tabColor theme="8"/>
  </sheetPr>
  <dimension ref="A1:I14"/>
  <sheetViews>
    <sheetView workbookViewId="0">
      <selection activeCell="H23" sqref="H23"/>
    </sheetView>
  </sheetViews>
  <sheetFormatPr defaultRowHeight="15" x14ac:dyDescent="0.25"/>
  <cols>
    <col min="3" max="3" width="10" customWidth="1"/>
    <col min="4" max="4" width="13.5703125" customWidth="1"/>
    <col min="5" max="5" width="15.85546875" customWidth="1"/>
    <col min="6" max="6" width="9.7109375" customWidth="1"/>
    <col min="7" max="7" width="16.5703125" customWidth="1"/>
    <col min="8" max="8" width="23.140625" customWidth="1"/>
    <col min="9" max="9" width="11" customWidth="1"/>
  </cols>
  <sheetData>
    <row r="1" spans="1:9" x14ac:dyDescent="0.25">
      <c r="A1" t="s">
        <v>193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9</v>
      </c>
      <c r="H1" t="s">
        <v>10</v>
      </c>
      <c r="I1" t="s">
        <v>195</v>
      </c>
    </row>
    <row r="2" spans="1:9" x14ac:dyDescent="0.25">
      <c r="A2" t="s">
        <v>194</v>
      </c>
      <c r="B2" t="s">
        <v>17</v>
      </c>
      <c r="C2" t="s">
        <v>13</v>
      </c>
      <c r="D2" t="s">
        <v>14</v>
      </c>
      <c r="E2" t="s">
        <v>15</v>
      </c>
      <c r="F2" t="s">
        <v>16</v>
      </c>
      <c r="G2" t="s">
        <v>17</v>
      </c>
      <c r="H2" t="s">
        <v>22</v>
      </c>
      <c r="I2" t="s">
        <v>23</v>
      </c>
    </row>
    <row r="3" spans="1:9" x14ac:dyDescent="0.25">
      <c r="A3" t="s">
        <v>194</v>
      </c>
      <c r="B3" t="s">
        <v>17</v>
      </c>
      <c r="C3" t="s">
        <v>47</v>
      </c>
      <c r="D3" t="s">
        <v>14</v>
      </c>
      <c r="E3" t="s">
        <v>48</v>
      </c>
      <c r="F3" t="s">
        <v>49</v>
      </c>
      <c r="G3" t="s">
        <v>17</v>
      </c>
      <c r="H3" t="s">
        <v>22</v>
      </c>
      <c r="I3" t="s">
        <v>23</v>
      </c>
    </row>
    <row r="4" spans="1:9" x14ac:dyDescent="0.25">
      <c r="A4" t="s">
        <v>194</v>
      </c>
      <c r="B4" t="s">
        <v>17</v>
      </c>
      <c r="C4" t="s">
        <v>54</v>
      </c>
      <c r="D4" t="s">
        <v>14</v>
      </c>
      <c r="E4" t="s">
        <v>55</v>
      </c>
      <c r="F4" t="s">
        <v>56</v>
      </c>
      <c r="G4" t="s">
        <v>17</v>
      </c>
      <c r="H4" t="s">
        <v>22</v>
      </c>
      <c r="I4" t="s">
        <v>23</v>
      </c>
    </row>
    <row r="5" spans="1:9" x14ac:dyDescent="0.25">
      <c r="A5" t="s">
        <v>194</v>
      </c>
      <c r="B5" t="s">
        <v>17</v>
      </c>
      <c r="C5" t="s">
        <v>66</v>
      </c>
      <c r="D5" t="s">
        <v>14</v>
      </c>
      <c r="E5" t="s">
        <v>67</v>
      </c>
      <c r="F5" t="s">
        <v>68</v>
      </c>
      <c r="G5" t="s">
        <v>17</v>
      </c>
      <c r="H5" t="s">
        <v>22</v>
      </c>
      <c r="I5" t="s">
        <v>23</v>
      </c>
    </row>
    <row r="6" spans="1:9" x14ac:dyDescent="0.25">
      <c r="A6" t="s">
        <v>194</v>
      </c>
      <c r="B6" t="s">
        <v>17</v>
      </c>
      <c r="C6" t="s">
        <v>73</v>
      </c>
      <c r="D6" t="s">
        <v>14</v>
      </c>
      <c r="E6" t="s">
        <v>74</v>
      </c>
      <c r="F6" t="s">
        <v>75</v>
      </c>
      <c r="G6" t="s">
        <v>17</v>
      </c>
      <c r="H6" t="s">
        <v>22</v>
      </c>
      <c r="I6" t="s">
        <v>33</v>
      </c>
    </row>
    <row r="7" spans="1:9" x14ac:dyDescent="0.25">
      <c r="A7" t="s">
        <v>194</v>
      </c>
      <c r="B7" t="s">
        <v>17</v>
      </c>
      <c r="C7" t="s">
        <v>86</v>
      </c>
      <c r="D7" t="s">
        <v>87</v>
      </c>
      <c r="E7" t="s">
        <v>88</v>
      </c>
      <c r="F7" t="s">
        <v>89</v>
      </c>
      <c r="G7" t="s">
        <v>17</v>
      </c>
      <c r="H7" t="s">
        <v>22</v>
      </c>
      <c r="I7" t="s">
        <v>23</v>
      </c>
    </row>
    <row r="8" spans="1:9" x14ac:dyDescent="0.25">
      <c r="A8" t="s">
        <v>194</v>
      </c>
      <c r="B8" t="s">
        <v>17</v>
      </c>
      <c r="C8" t="s">
        <v>107</v>
      </c>
      <c r="D8" t="s">
        <v>108</v>
      </c>
      <c r="E8" t="s">
        <v>109</v>
      </c>
      <c r="F8" t="s">
        <v>110</v>
      </c>
      <c r="G8" t="s">
        <v>17</v>
      </c>
      <c r="H8" t="s">
        <v>22</v>
      </c>
      <c r="I8" t="s">
        <v>23</v>
      </c>
    </row>
    <row r="9" spans="1:9" x14ac:dyDescent="0.25">
      <c r="A9" t="s">
        <v>194</v>
      </c>
      <c r="B9" t="s">
        <v>17</v>
      </c>
      <c r="C9" t="s">
        <v>121</v>
      </c>
      <c r="D9" t="s">
        <v>108</v>
      </c>
      <c r="E9" t="s">
        <v>122</v>
      </c>
      <c r="F9" t="s">
        <v>123</v>
      </c>
      <c r="G9" t="s">
        <v>17</v>
      </c>
      <c r="H9" t="s">
        <v>22</v>
      </c>
      <c r="I9" t="s">
        <v>23</v>
      </c>
    </row>
    <row r="10" spans="1:9" x14ac:dyDescent="0.25">
      <c r="A10" t="s">
        <v>194</v>
      </c>
      <c r="B10" t="s">
        <v>17</v>
      </c>
      <c r="C10" t="s">
        <v>128</v>
      </c>
      <c r="D10" t="s">
        <v>108</v>
      </c>
      <c r="E10" t="s">
        <v>129</v>
      </c>
      <c r="F10" t="s">
        <v>130</v>
      </c>
      <c r="G10" t="s">
        <v>17</v>
      </c>
      <c r="H10" t="s">
        <v>22</v>
      </c>
      <c r="I10" t="s">
        <v>23</v>
      </c>
    </row>
    <row r="11" spans="1:9" x14ac:dyDescent="0.25">
      <c r="A11" t="s">
        <v>194</v>
      </c>
      <c r="B11" t="s">
        <v>17</v>
      </c>
      <c r="C11" t="s">
        <v>144</v>
      </c>
      <c r="D11" t="s">
        <v>145</v>
      </c>
      <c r="E11" t="s">
        <v>146</v>
      </c>
      <c r="F11" t="s">
        <v>147</v>
      </c>
      <c r="G11" t="s">
        <v>17</v>
      </c>
      <c r="H11" t="s">
        <v>22</v>
      </c>
      <c r="I11" t="s">
        <v>23</v>
      </c>
    </row>
    <row r="12" spans="1:9" x14ac:dyDescent="0.25">
      <c r="A12" t="s">
        <v>194</v>
      </c>
      <c r="B12" t="s">
        <v>17</v>
      </c>
      <c r="C12" t="s">
        <v>152</v>
      </c>
      <c r="D12" t="s">
        <v>145</v>
      </c>
      <c r="E12" t="s">
        <v>153</v>
      </c>
      <c r="F12" t="s">
        <v>154</v>
      </c>
      <c r="G12" t="s">
        <v>17</v>
      </c>
      <c r="H12" t="s">
        <v>22</v>
      </c>
      <c r="I12" t="s">
        <v>23</v>
      </c>
    </row>
    <row r="13" spans="1:9" x14ac:dyDescent="0.25">
      <c r="A13" t="s">
        <v>194</v>
      </c>
      <c r="B13" t="s">
        <v>17</v>
      </c>
      <c r="C13" t="s">
        <v>168</v>
      </c>
      <c r="D13" t="s">
        <v>169</v>
      </c>
      <c r="E13" t="s">
        <v>170</v>
      </c>
      <c r="F13" t="s">
        <v>171</v>
      </c>
      <c r="G13" t="s">
        <v>17</v>
      </c>
      <c r="H13" t="s">
        <v>22</v>
      </c>
      <c r="I13" t="s">
        <v>23</v>
      </c>
    </row>
    <row r="14" spans="1:9" x14ac:dyDescent="0.25">
      <c r="A14" t="s">
        <v>194</v>
      </c>
      <c r="B14" t="s">
        <v>17</v>
      </c>
      <c r="C14" t="s">
        <v>188</v>
      </c>
      <c r="D14" t="s">
        <v>169</v>
      </c>
      <c r="E14" t="s">
        <v>189</v>
      </c>
      <c r="F14" t="s">
        <v>190</v>
      </c>
      <c r="G14" t="s">
        <v>17</v>
      </c>
      <c r="H14" t="s">
        <v>22</v>
      </c>
      <c r="I14" t="s">
        <v>33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12170-04AC-47DD-859E-01DCC6688529}">
  <sheetPr>
    <tabColor theme="9"/>
  </sheetPr>
  <dimension ref="A1:I27"/>
  <sheetViews>
    <sheetView workbookViewId="0">
      <selection activeCell="K18" sqref="K18"/>
    </sheetView>
  </sheetViews>
  <sheetFormatPr defaultRowHeight="15" x14ac:dyDescent="0.25"/>
  <cols>
    <col min="3" max="3" width="10" customWidth="1"/>
    <col min="4" max="4" width="13.5703125" customWidth="1"/>
    <col min="5" max="5" width="15.85546875" customWidth="1"/>
    <col min="6" max="6" width="9.7109375" customWidth="1"/>
    <col min="7" max="7" width="16.5703125" customWidth="1"/>
    <col min="8" max="8" width="23.140625" customWidth="1"/>
    <col min="9" max="9" width="11" customWidth="1"/>
  </cols>
  <sheetData>
    <row r="1" spans="1:9" x14ac:dyDescent="0.25">
      <c r="A1" t="s">
        <v>193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9</v>
      </c>
      <c r="H1" t="s">
        <v>10</v>
      </c>
      <c r="I1" t="s">
        <v>195</v>
      </c>
    </row>
    <row r="2" spans="1:9" x14ac:dyDescent="0.25">
      <c r="A2" t="s">
        <v>196</v>
      </c>
      <c r="B2" t="s">
        <v>197</v>
      </c>
      <c r="C2" t="s">
        <v>13</v>
      </c>
      <c r="D2" t="s">
        <v>14</v>
      </c>
      <c r="E2" t="s">
        <v>15</v>
      </c>
      <c r="F2" t="s">
        <v>16</v>
      </c>
      <c r="G2" t="s">
        <v>17</v>
      </c>
      <c r="H2" t="s">
        <v>22</v>
      </c>
      <c r="I2" t="s">
        <v>23</v>
      </c>
    </row>
    <row r="3" spans="1:9" x14ac:dyDescent="0.25">
      <c r="A3" t="s">
        <v>196</v>
      </c>
      <c r="B3" t="s">
        <v>197</v>
      </c>
      <c r="C3" t="s">
        <v>25</v>
      </c>
      <c r="D3" t="s">
        <v>14</v>
      </c>
      <c r="E3" t="s">
        <v>26</v>
      </c>
      <c r="F3" t="s">
        <v>27</v>
      </c>
      <c r="G3" t="s">
        <v>28</v>
      </c>
      <c r="H3" t="s">
        <v>22</v>
      </c>
      <c r="I3" t="s">
        <v>33</v>
      </c>
    </row>
    <row r="4" spans="1:9" x14ac:dyDescent="0.25">
      <c r="A4" t="s">
        <v>196</v>
      </c>
      <c r="B4" t="s">
        <v>197</v>
      </c>
      <c r="C4" t="s">
        <v>34</v>
      </c>
      <c r="D4" t="s">
        <v>14</v>
      </c>
      <c r="E4" t="s">
        <v>35</v>
      </c>
      <c r="F4" t="s">
        <v>36</v>
      </c>
      <c r="G4" t="s">
        <v>28</v>
      </c>
      <c r="H4" t="s">
        <v>22</v>
      </c>
      <c r="I4" t="s">
        <v>33</v>
      </c>
    </row>
    <row r="5" spans="1:9" x14ac:dyDescent="0.25">
      <c r="A5" t="s">
        <v>196</v>
      </c>
      <c r="B5" t="s">
        <v>197</v>
      </c>
      <c r="C5" t="s">
        <v>40</v>
      </c>
      <c r="D5" t="s">
        <v>14</v>
      </c>
      <c r="E5" t="s">
        <v>41</v>
      </c>
      <c r="F5" t="s">
        <v>42</v>
      </c>
      <c r="G5" t="s">
        <v>28</v>
      </c>
      <c r="H5" t="s">
        <v>22</v>
      </c>
      <c r="I5" t="s">
        <v>33</v>
      </c>
    </row>
    <row r="6" spans="1:9" x14ac:dyDescent="0.25">
      <c r="A6" t="s">
        <v>196</v>
      </c>
      <c r="B6" t="s">
        <v>197</v>
      </c>
      <c r="C6" t="s">
        <v>47</v>
      </c>
      <c r="D6" t="s">
        <v>14</v>
      </c>
      <c r="E6" t="s">
        <v>48</v>
      </c>
      <c r="F6" t="s">
        <v>49</v>
      </c>
      <c r="G6" t="s">
        <v>17</v>
      </c>
      <c r="H6" t="s">
        <v>22</v>
      </c>
      <c r="I6" t="s">
        <v>23</v>
      </c>
    </row>
    <row r="7" spans="1:9" x14ac:dyDescent="0.25">
      <c r="A7" t="s">
        <v>196</v>
      </c>
      <c r="B7" t="s">
        <v>197</v>
      </c>
      <c r="C7" t="s">
        <v>54</v>
      </c>
      <c r="D7" t="s">
        <v>14</v>
      </c>
      <c r="E7" t="s">
        <v>55</v>
      </c>
      <c r="F7" t="s">
        <v>56</v>
      </c>
      <c r="G7" t="s">
        <v>17</v>
      </c>
      <c r="H7" t="s">
        <v>22</v>
      </c>
      <c r="I7" t="s">
        <v>23</v>
      </c>
    </row>
    <row r="8" spans="1:9" x14ac:dyDescent="0.25">
      <c r="A8" t="s">
        <v>196</v>
      </c>
      <c r="B8" t="s">
        <v>197</v>
      </c>
      <c r="C8" t="s">
        <v>60</v>
      </c>
      <c r="D8" t="s">
        <v>14</v>
      </c>
      <c r="E8" t="s">
        <v>61</v>
      </c>
      <c r="F8" t="s">
        <v>62</v>
      </c>
      <c r="G8" t="s">
        <v>28</v>
      </c>
      <c r="H8" t="s">
        <v>22</v>
      </c>
      <c r="I8" t="s">
        <v>33</v>
      </c>
    </row>
    <row r="9" spans="1:9" x14ac:dyDescent="0.25">
      <c r="A9" t="s">
        <v>196</v>
      </c>
      <c r="B9" t="s">
        <v>197</v>
      </c>
      <c r="C9" t="s">
        <v>66</v>
      </c>
      <c r="D9" t="s">
        <v>14</v>
      </c>
      <c r="E9" t="s">
        <v>67</v>
      </c>
      <c r="F9" t="s">
        <v>68</v>
      </c>
      <c r="G9" t="s">
        <v>17</v>
      </c>
      <c r="H9" t="s">
        <v>22</v>
      </c>
      <c r="I9" t="s">
        <v>23</v>
      </c>
    </row>
    <row r="10" spans="1:9" x14ac:dyDescent="0.25">
      <c r="A10" t="s">
        <v>196</v>
      </c>
      <c r="B10" t="s">
        <v>197</v>
      </c>
      <c r="C10" t="s">
        <v>73</v>
      </c>
      <c r="D10" t="s">
        <v>14</v>
      </c>
      <c r="E10" t="s">
        <v>74</v>
      </c>
      <c r="F10" t="s">
        <v>75</v>
      </c>
      <c r="G10" t="s">
        <v>17</v>
      </c>
      <c r="H10" t="s">
        <v>22</v>
      </c>
      <c r="I10" t="s">
        <v>33</v>
      </c>
    </row>
    <row r="11" spans="1:9" x14ac:dyDescent="0.25">
      <c r="A11" t="s">
        <v>196</v>
      </c>
      <c r="B11" t="s">
        <v>197</v>
      </c>
      <c r="C11" t="s">
        <v>79</v>
      </c>
      <c r="D11" t="s">
        <v>14</v>
      </c>
      <c r="E11" t="s">
        <v>80</v>
      </c>
      <c r="F11" t="s">
        <v>81</v>
      </c>
      <c r="G11" t="s">
        <v>28</v>
      </c>
      <c r="H11" t="s">
        <v>22</v>
      </c>
      <c r="I11" t="s">
        <v>33</v>
      </c>
    </row>
    <row r="12" spans="1:9" x14ac:dyDescent="0.25">
      <c r="A12" t="s">
        <v>196</v>
      </c>
      <c r="B12" t="s">
        <v>197</v>
      </c>
      <c r="C12" t="s">
        <v>86</v>
      </c>
      <c r="D12" t="s">
        <v>87</v>
      </c>
      <c r="E12" t="s">
        <v>88</v>
      </c>
      <c r="F12" t="s">
        <v>89</v>
      </c>
      <c r="G12" t="s">
        <v>17</v>
      </c>
      <c r="H12" t="s">
        <v>22</v>
      </c>
      <c r="I12" t="s">
        <v>23</v>
      </c>
    </row>
    <row r="13" spans="1:9" x14ac:dyDescent="0.25">
      <c r="A13" t="s">
        <v>196</v>
      </c>
      <c r="B13" t="s">
        <v>197</v>
      </c>
      <c r="C13" t="s">
        <v>100</v>
      </c>
      <c r="D13" t="s">
        <v>87</v>
      </c>
      <c r="E13" t="s">
        <v>101</v>
      </c>
      <c r="F13" t="s">
        <v>102</v>
      </c>
      <c r="G13" t="s">
        <v>28</v>
      </c>
      <c r="H13" t="s">
        <v>22</v>
      </c>
      <c r="I13" t="s">
        <v>33</v>
      </c>
    </row>
    <row r="14" spans="1:9" x14ac:dyDescent="0.25">
      <c r="A14" t="s">
        <v>196</v>
      </c>
      <c r="B14" t="s">
        <v>197</v>
      </c>
      <c r="C14" t="s">
        <v>107</v>
      </c>
      <c r="D14" t="s">
        <v>108</v>
      </c>
      <c r="E14" t="s">
        <v>109</v>
      </c>
      <c r="F14" t="s">
        <v>110</v>
      </c>
      <c r="G14" t="s">
        <v>17</v>
      </c>
      <c r="H14" t="s">
        <v>22</v>
      </c>
      <c r="I14" t="s">
        <v>23</v>
      </c>
    </row>
    <row r="15" spans="1:9" x14ac:dyDescent="0.25">
      <c r="A15" t="s">
        <v>196</v>
      </c>
      <c r="B15" t="s">
        <v>197</v>
      </c>
      <c r="C15" t="s">
        <v>115</v>
      </c>
      <c r="D15" t="s">
        <v>108</v>
      </c>
      <c r="E15" t="s">
        <v>116</v>
      </c>
      <c r="F15" t="s">
        <v>117</v>
      </c>
      <c r="G15" t="s">
        <v>28</v>
      </c>
      <c r="H15" t="s">
        <v>22</v>
      </c>
      <c r="I15" t="s">
        <v>33</v>
      </c>
    </row>
    <row r="16" spans="1:9" x14ac:dyDescent="0.25">
      <c r="A16" t="s">
        <v>196</v>
      </c>
      <c r="B16" t="s">
        <v>197</v>
      </c>
      <c r="C16" t="s">
        <v>121</v>
      </c>
      <c r="D16" t="s">
        <v>108</v>
      </c>
      <c r="E16" t="s">
        <v>122</v>
      </c>
      <c r="F16" t="s">
        <v>123</v>
      </c>
      <c r="G16" t="s">
        <v>17</v>
      </c>
      <c r="H16" t="s">
        <v>22</v>
      </c>
      <c r="I16" t="s">
        <v>23</v>
      </c>
    </row>
    <row r="17" spans="1:9" x14ac:dyDescent="0.25">
      <c r="A17" t="s">
        <v>196</v>
      </c>
      <c r="B17" t="s">
        <v>197</v>
      </c>
      <c r="C17" t="s">
        <v>128</v>
      </c>
      <c r="D17" t="s">
        <v>108</v>
      </c>
      <c r="E17" t="s">
        <v>129</v>
      </c>
      <c r="F17" t="s">
        <v>130</v>
      </c>
      <c r="G17" t="s">
        <v>17</v>
      </c>
      <c r="H17" t="s">
        <v>22</v>
      </c>
      <c r="I17" t="s">
        <v>23</v>
      </c>
    </row>
    <row r="18" spans="1:9" x14ac:dyDescent="0.25">
      <c r="A18" t="s">
        <v>196</v>
      </c>
      <c r="B18" t="s">
        <v>197</v>
      </c>
      <c r="C18" t="s">
        <v>133</v>
      </c>
      <c r="D18" t="s">
        <v>108</v>
      </c>
      <c r="E18" t="s">
        <v>134</v>
      </c>
      <c r="F18" t="s">
        <v>135</v>
      </c>
      <c r="G18" t="s">
        <v>28</v>
      </c>
      <c r="H18" t="s">
        <v>22</v>
      </c>
      <c r="I18" t="s">
        <v>33</v>
      </c>
    </row>
    <row r="19" spans="1:9" x14ac:dyDescent="0.25">
      <c r="A19" t="s">
        <v>196</v>
      </c>
      <c r="B19" t="s">
        <v>197</v>
      </c>
      <c r="C19" t="s">
        <v>138</v>
      </c>
      <c r="D19" t="s">
        <v>108</v>
      </c>
      <c r="E19" t="s">
        <v>139</v>
      </c>
      <c r="F19" t="s">
        <v>140</v>
      </c>
      <c r="G19" t="s">
        <v>28</v>
      </c>
      <c r="H19" t="s">
        <v>22</v>
      </c>
      <c r="I19" t="s">
        <v>33</v>
      </c>
    </row>
    <row r="20" spans="1:9" x14ac:dyDescent="0.25">
      <c r="A20" t="s">
        <v>196</v>
      </c>
      <c r="B20" t="s">
        <v>197</v>
      </c>
      <c r="C20" t="s">
        <v>144</v>
      </c>
      <c r="D20" t="s">
        <v>145</v>
      </c>
      <c r="E20" t="s">
        <v>146</v>
      </c>
      <c r="F20" t="s">
        <v>147</v>
      </c>
      <c r="G20" t="s">
        <v>17</v>
      </c>
      <c r="H20" t="s">
        <v>22</v>
      </c>
      <c r="I20" t="s">
        <v>23</v>
      </c>
    </row>
    <row r="21" spans="1:9" x14ac:dyDescent="0.25">
      <c r="A21" t="s">
        <v>196</v>
      </c>
      <c r="B21" t="s">
        <v>197</v>
      </c>
      <c r="C21" t="s">
        <v>152</v>
      </c>
      <c r="D21" t="s">
        <v>145</v>
      </c>
      <c r="E21" t="s">
        <v>153</v>
      </c>
      <c r="F21" t="s">
        <v>154</v>
      </c>
      <c r="G21" t="s">
        <v>17</v>
      </c>
      <c r="H21" t="s">
        <v>22</v>
      </c>
      <c r="I21" t="s">
        <v>23</v>
      </c>
    </row>
    <row r="22" spans="1:9" x14ac:dyDescent="0.25">
      <c r="A22" t="s">
        <v>196</v>
      </c>
      <c r="B22" t="s">
        <v>197</v>
      </c>
      <c r="C22" t="s">
        <v>157</v>
      </c>
      <c r="D22" t="s">
        <v>145</v>
      </c>
      <c r="E22" t="s">
        <v>158</v>
      </c>
      <c r="F22" t="s">
        <v>159</v>
      </c>
      <c r="G22" t="s">
        <v>28</v>
      </c>
      <c r="H22" t="s">
        <v>22</v>
      </c>
      <c r="I22" t="s">
        <v>33</v>
      </c>
    </row>
    <row r="23" spans="1:9" x14ac:dyDescent="0.25">
      <c r="A23" t="s">
        <v>196</v>
      </c>
      <c r="B23" t="s">
        <v>197</v>
      </c>
      <c r="C23" t="s">
        <v>163</v>
      </c>
      <c r="D23" t="s">
        <v>145</v>
      </c>
      <c r="E23" t="s">
        <v>164</v>
      </c>
      <c r="F23" t="s">
        <v>165</v>
      </c>
      <c r="G23" t="s">
        <v>28</v>
      </c>
      <c r="H23" t="s">
        <v>22</v>
      </c>
      <c r="I23" t="s">
        <v>33</v>
      </c>
    </row>
    <row r="24" spans="1:9" x14ac:dyDescent="0.25">
      <c r="A24" t="s">
        <v>196</v>
      </c>
      <c r="B24" t="s">
        <v>197</v>
      </c>
      <c r="C24" t="s">
        <v>168</v>
      </c>
      <c r="D24" t="s">
        <v>169</v>
      </c>
      <c r="E24" t="s">
        <v>170</v>
      </c>
      <c r="F24" t="s">
        <v>171</v>
      </c>
      <c r="G24" t="s">
        <v>17</v>
      </c>
      <c r="H24" t="s">
        <v>22</v>
      </c>
      <c r="I24" t="s">
        <v>23</v>
      </c>
    </row>
    <row r="25" spans="1:9" x14ac:dyDescent="0.25">
      <c r="A25" t="s">
        <v>196</v>
      </c>
      <c r="B25" t="s">
        <v>197</v>
      </c>
      <c r="C25" t="s">
        <v>176</v>
      </c>
      <c r="D25" t="s">
        <v>169</v>
      </c>
      <c r="E25" t="s">
        <v>177</v>
      </c>
      <c r="F25" t="s">
        <v>178</v>
      </c>
      <c r="G25" t="s">
        <v>28</v>
      </c>
      <c r="H25" t="s">
        <v>22</v>
      </c>
      <c r="I25" t="s">
        <v>33</v>
      </c>
    </row>
    <row r="26" spans="1:9" x14ac:dyDescent="0.25">
      <c r="A26" t="s">
        <v>196</v>
      </c>
      <c r="B26" t="s">
        <v>197</v>
      </c>
      <c r="C26" t="s">
        <v>181</v>
      </c>
      <c r="D26" t="s">
        <v>169</v>
      </c>
      <c r="E26" t="s">
        <v>182</v>
      </c>
      <c r="F26" t="s">
        <v>183</v>
      </c>
      <c r="G26" t="s">
        <v>17</v>
      </c>
      <c r="H26" t="s">
        <v>22</v>
      </c>
      <c r="I26" t="s">
        <v>33</v>
      </c>
    </row>
    <row r="27" spans="1:9" x14ac:dyDescent="0.25">
      <c r="A27" t="s">
        <v>196</v>
      </c>
      <c r="B27" t="s">
        <v>197</v>
      </c>
      <c r="C27" t="s">
        <v>188</v>
      </c>
      <c r="D27" t="s">
        <v>169</v>
      </c>
      <c r="E27" t="s">
        <v>189</v>
      </c>
      <c r="F27" t="s">
        <v>190</v>
      </c>
      <c r="G27" t="s">
        <v>17</v>
      </c>
      <c r="H27" t="s">
        <v>22</v>
      </c>
      <c r="I27" t="s">
        <v>33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77590-1C3D-4622-9544-BE9C54B9BFD9}">
  <sheetPr>
    <tabColor rgb="FFFF0000"/>
  </sheetPr>
  <dimension ref="A1:P3"/>
  <sheetViews>
    <sheetView workbookViewId="0">
      <selection activeCell="O10" sqref="O10"/>
    </sheetView>
  </sheetViews>
  <sheetFormatPr defaultRowHeight="15" x14ac:dyDescent="0.25"/>
  <cols>
    <col min="2" max="2" width="29" customWidth="1"/>
    <col min="3" max="3" width="21.7109375" customWidth="1"/>
    <col min="4" max="4" width="11.7109375" customWidth="1"/>
    <col min="5" max="5" width="10.85546875" customWidth="1"/>
    <col min="6" max="7" width="12.7109375" customWidth="1"/>
    <col min="8" max="8" width="15" customWidth="1"/>
    <col min="9" max="9" width="15.85546875" customWidth="1"/>
    <col min="10" max="10" width="17" customWidth="1"/>
    <col min="11" max="11" width="14.140625" customWidth="1"/>
    <col min="12" max="12" width="13.42578125" customWidth="1"/>
    <col min="13" max="13" width="13.7109375" customWidth="1"/>
    <col min="16" max="16" width="32.42578125" customWidth="1"/>
  </cols>
  <sheetData>
    <row r="1" spans="1:16" s="1" customFormat="1" ht="30" x14ac:dyDescent="0.25">
      <c r="A1" s="2" t="s">
        <v>251</v>
      </c>
      <c r="B1" s="2" t="s">
        <v>252</v>
      </c>
      <c r="C1" s="2" t="s">
        <v>1</v>
      </c>
      <c r="D1" s="2" t="s">
        <v>253</v>
      </c>
      <c r="E1" s="2" t="s">
        <v>4</v>
      </c>
      <c r="F1" s="2" t="s">
        <v>11</v>
      </c>
      <c r="G1" s="2" t="s">
        <v>254</v>
      </c>
      <c r="H1" s="2" t="s">
        <v>257</v>
      </c>
      <c r="I1" s="2" t="s">
        <v>255</v>
      </c>
      <c r="J1" s="2" t="s">
        <v>256</v>
      </c>
      <c r="K1" s="2" t="s">
        <v>259</v>
      </c>
      <c r="L1" s="2" t="s">
        <v>260</v>
      </c>
      <c r="M1" s="2" t="s">
        <v>261</v>
      </c>
      <c r="N1" s="2" t="s">
        <v>262</v>
      </c>
      <c r="O1" s="2" t="s">
        <v>263</v>
      </c>
      <c r="P1" s="2" t="s">
        <v>258</v>
      </c>
    </row>
    <row r="2" spans="1:16" s="1" customFormat="1" ht="30" x14ac:dyDescent="0.25">
      <c r="A2" s="1" t="s">
        <v>246</v>
      </c>
      <c r="B2" s="1" t="s">
        <v>264</v>
      </c>
      <c r="C2" s="1" t="s">
        <v>145</v>
      </c>
      <c r="D2" s="1" t="s">
        <v>265</v>
      </c>
      <c r="E2" s="1" t="s">
        <v>17</v>
      </c>
      <c r="F2" s="1" t="s">
        <v>266</v>
      </c>
      <c r="G2" s="1" t="s">
        <v>267</v>
      </c>
      <c r="H2" s="1" t="s">
        <v>268</v>
      </c>
      <c r="I2" s="1" t="s">
        <v>243</v>
      </c>
      <c r="J2" s="1" t="s">
        <v>275</v>
      </c>
      <c r="K2" s="1" t="s">
        <v>236</v>
      </c>
      <c r="M2" s="1" t="s">
        <v>33</v>
      </c>
      <c r="N2" s="1">
        <v>0</v>
      </c>
      <c r="O2" s="1">
        <f ca="1">IF(L2&lt;&gt;"",L2-K2,TODAY()-K2)</f>
        <v>1</v>
      </c>
      <c r="P2" s="1" t="s">
        <v>269</v>
      </c>
    </row>
    <row r="3" spans="1:16" s="1" customFormat="1" ht="30" x14ac:dyDescent="0.25">
      <c r="A3" s="1" t="s">
        <v>250</v>
      </c>
      <c r="B3" s="1" t="s">
        <v>270</v>
      </c>
      <c r="C3" s="1" t="s">
        <v>169</v>
      </c>
      <c r="D3" s="1" t="s">
        <v>271</v>
      </c>
      <c r="E3" s="1" t="s">
        <v>17</v>
      </c>
      <c r="F3" s="1" t="s">
        <v>272</v>
      </c>
      <c r="G3" s="1" t="s">
        <v>273</v>
      </c>
      <c r="H3" s="1" t="s">
        <v>70</v>
      </c>
      <c r="I3" s="1" t="s">
        <v>274</v>
      </c>
      <c r="J3" s="1" t="s">
        <v>276</v>
      </c>
      <c r="K3" s="1" t="s">
        <v>238</v>
      </c>
      <c r="L3" s="1" t="s">
        <v>237</v>
      </c>
      <c r="M3" s="1" t="s">
        <v>33</v>
      </c>
      <c r="N3" s="1">
        <v>0</v>
      </c>
      <c r="O3" s="1">
        <f ca="1">IF(L3&lt;&gt;"",L3-K3,TODAY()-K3)</f>
        <v>1</v>
      </c>
      <c r="P3" s="1" t="s">
        <v>277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CE5A0-5595-46D9-ACFC-4E7B94D1B469}">
  <sheetPr>
    <tabColor rgb="FF002060"/>
  </sheetPr>
  <dimension ref="A2:AE44"/>
  <sheetViews>
    <sheetView tabSelected="1" zoomScale="80" zoomScaleNormal="80" workbookViewId="0">
      <selection activeCell="J22" sqref="J22"/>
    </sheetView>
  </sheetViews>
  <sheetFormatPr defaultRowHeight="15" x14ac:dyDescent="0.25"/>
  <cols>
    <col min="1" max="1" width="10.85546875" customWidth="1"/>
    <col min="2" max="2" width="13.28515625" customWidth="1"/>
    <col min="3" max="3" width="12.85546875" customWidth="1"/>
    <col min="4" max="4" width="11.85546875" customWidth="1"/>
    <col min="5" max="5" width="11.7109375" customWidth="1"/>
    <col min="6" max="6" width="13" customWidth="1"/>
    <col min="7" max="11" width="11.5703125" bestFit="1" customWidth="1"/>
  </cols>
  <sheetData>
    <row r="2" spans="2:6" x14ac:dyDescent="0.25">
      <c r="B2" s="3" t="s">
        <v>279</v>
      </c>
      <c r="C2" s="4"/>
      <c r="D2" s="4"/>
      <c r="E2" s="4"/>
      <c r="F2" s="4"/>
    </row>
    <row r="3" spans="2:6" x14ac:dyDescent="0.25">
      <c r="B3" t="s">
        <v>278</v>
      </c>
      <c r="C3" t="s">
        <v>266</v>
      </c>
      <c r="D3" t="s">
        <v>244</v>
      </c>
      <c r="E3" t="s">
        <v>245</v>
      </c>
      <c r="F3" t="s">
        <v>249</v>
      </c>
    </row>
    <row r="4" spans="2:6" x14ac:dyDescent="0.25">
      <c r="B4">
        <f xml:space="preserve"> COUNTIF(Test_Cases!L:L, "Not Started")</f>
        <v>0</v>
      </c>
      <c r="C4">
        <f xml:space="preserve"> COUNTIF(Test_Cases!L:L, "In Progress")</f>
        <v>0</v>
      </c>
      <c r="D4">
        <f xml:space="preserve"> COUNTIF(Test_Cases!L:L, "Passed")</f>
        <v>25</v>
      </c>
      <c r="E4">
        <f xml:space="preserve"> COUNTIF(Test_Cases!L:L, "Failed")</f>
        <v>1</v>
      </c>
      <c r="F4">
        <f xml:space="preserve"> COUNTIF(Test_Cases!L:L, "Blocked")</f>
        <v>1</v>
      </c>
    </row>
    <row r="28" spans="1:31" ht="15.75" thickBot="1" x14ac:dyDescent="0.3"/>
    <row r="29" spans="1:31" ht="15.75" thickBot="1" x14ac:dyDescent="0.3">
      <c r="A29" s="5" t="s">
        <v>280</v>
      </c>
      <c r="B29" s="6">
        <v>46055</v>
      </c>
      <c r="C29" s="6">
        <v>46056</v>
      </c>
      <c r="D29" s="6">
        <v>46057</v>
      </c>
      <c r="E29" s="6">
        <v>46058</v>
      </c>
      <c r="F29" s="6">
        <v>46059</v>
      </c>
      <c r="G29" s="6">
        <v>46060</v>
      </c>
      <c r="H29" s="6">
        <v>46061</v>
      </c>
      <c r="I29" s="6">
        <v>46062</v>
      </c>
      <c r="J29" s="6">
        <v>46063</v>
      </c>
      <c r="K29" s="6">
        <v>46064</v>
      </c>
      <c r="L29" s="6">
        <v>46065</v>
      </c>
      <c r="M29" s="6">
        <v>46066</v>
      </c>
      <c r="N29" s="6">
        <v>46067</v>
      </c>
      <c r="O29" s="6">
        <v>46068</v>
      </c>
      <c r="P29" s="6">
        <v>46069</v>
      </c>
      <c r="Q29" s="6">
        <v>46070</v>
      </c>
      <c r="R29" s="6">
        <v>46071</v>
      </c>
      <c r="S29" s="6">
        <v>46072</v>
      </c>
      <c r="T29" s="6">
        <v>46073</v>
      </c>
      <c r="U29" s="6">
        <v>46074</v>
      </c>
      <c r="V29" s="6">
        <v>46075</v>
      </c>
      <c r="W29" s="6">
        <v>46076</v>
      </c>
      <c r="X29" s="6">
        <v>46077</v>
      </c>
      <c r="Y29" s="6">
        <v>46078</v>
      </c>
      <c r="Z29" s="6">
        <v>46079</v>
      </c>
      <c r="AA29" s="6">
        <v>46080</v>
      </c>
      <c r="AB29" s="6">
        <v>46081</v>
      </c>
      <c r="AC29" s="6">
        <v>46082</v>
      </c>
      <c r="AD29" s="6">
        <v>46083</v>
      </c>
      <c r="AE29" s="6">
        <v>46084</v>
      </c>
    </row>
    <row r="30" spans="1:31" ht="30.75" thickBot="1" x14ac:dyDescent="0.3">
      <c r="A30" s="7" t="s">
        <v>281</v>
      </c>
      <c r="B30" s="8" t="e">
        <v>#REF!</v>
      </c>
      <c r="C30" s="8" t="e">
        <v>#REF!</v>
      </c>
      <c r="D30" s="8" t="e">
        <v>#REF!</v>
      </c>
      <c r="E30" s="8" t="e">
        <v>#REF!</v>
      </c>
      <c r="F30" s="8" t="e">
        <v>#REF!</v>
      </c>
      <c r="G30" s="9"/>
      <c r="H30" s="9"/>
      <c r="I30" s="10" t="e">
        <v>#REF!</v>
      </c>
      <c r="J30" s="8" t="e">
        <v>#REF!</v>
      </c>
      <c r="K30" s="8" t="e">
        <v>#REF!</v>
      </c>
      <c r="L30" s="11"/>
      <c r="M30" s="11"/>
      <c r="N30" s="9"/>
      <c r="O30" s="9"/>
      <c r="P30" s="11"/>
      <c r="Q30" s="11"/>
      <c r="R30" s="11"/>
      <c r="S30" s="11"/>
      <c r="T30" s="11"/>
      <c r="U30" s="9"/>
      <c r="V30" s="9"/>
      <c r="W30" s="11"/>
      <c r="X30" s="11"/>
      <c r="Y30" s="11"/>
      <c r="Z30" s="11"/>
      <c r="AA30" s="11"/>
      <c r="AB30" s="9"/>
      <c r="AC30" s="9"/>
      <c r="AD30" s="11"/>
      <c r="AE30" s="11"/>
    </row>
    <row r="31" spans="1:31" ht="30.75" thickBot="1" x14ac:dyDescent="0.3">
      <c r="A31" s="7" t="s">
        <v>282</v>
      </c>
      <c r="B31" s="8" t="e">
        <v>#REF!</v>
      </c>
      <c r="C31" s="8" t="e">
        <v>#REF!</v>
      </c>
      <c r="D31" s="8" t="e">
        <v>#REF!</v>
      </c>
      <c r="E31" s="8" t="e">
        <v>#REF!</v>
      </c>
      <c r="F31" s="8" t="e">
        <v>#REF!</v>
      </c>
      <c r="G31" s="12" t="e">
        <v>#REF!</v>
      </c>
      <c r="H31" s="12" t="e">
        <v>#REF!</v>
      </c>
      <c r="I31" s="10" t="e">
        <v>#REF!</v>
      </c>
      <c r="J31" s="8" t="e">
        <v>#REF!</v>
      </c>
      <c r="K31" s="8" t="e">
        <v>#REF!</v>
      </c>
      <c r="L31" s="11"/>
      <c r="M31" s="11"/>
      <c r="N31" s="9"/>
      <c r="O31" s="9"/>
      <c r="P31" s="11"/>
      <c r="Q31" s="11"/>
      <c r="R31" s="11"/>
      <c r="S31" s="11"/>
      <c r="T31" s="11"/>
      <c r="U31" s="9"/>
      <c r="V31" s="9"/>
      <c r="W31" s="11"/>
      <c r="X31" s="11"/>
      <c r="Y31" s="11"/>
      <c r="Z31" s="11"/>
      <c r="AA31" s="11"/>
      <c r="AB31" s="9"/>
      <c r="AC31" s="9"/>
      <c r="AD31" s="11"/>
      <c r="AE31" s="11"/>
    </row>
    <row r="32" spans="1:31" ht="15.75" thickBot="1" x14ac:dyDescent="0.3">
      <c r="A32" s="7" t="s">
        <v>283</v>
      </c>
      <c r="B32" s="8" t="e">
        <v>#REF!</v>
      </c>
      <c r="C32" s="8" t="e">
        <v>#REF!</v>
      </c>
      <c r="D32" s="8" t="e">
        <v>#REF!</v>
      </c>
      <c r="E32" s="8" t="e">
        <v>#REF!</v>
      </c>
      <c r="F32" s="8" t="e">
        <v>#REF!</v>
      </c>
      <c r="G32" s="12" t="e">
        <v>#REF!</v>
      </c>
      <c r="H32" s="12" t="e">
        <v>#REF!</v>
      </c>
      <c r="I32" s="10" t="e">
        <v>#REF!</v>
      </c>
      <c r="J32" s="8" t="e">
        <v>#REF!</v>
      </c>
      <c r="K32" s="8" t="e">
        <v>#REF!</v>
      </c>
      <c r="L32" s="11"/>
      <c r="M32" s="11"/>
      <c r="N32" s="9"/>
      <c r="O32" s="9"/>
      <c r="P32" s="11"/>
      <c r="Q32" s="11"/>
      <c r="R32" s="11"/>
      <c r="S32" s="11"/>
      <c r="T32" s="11"/>
      <c r="U32" s="9"/>
      <c r="V32" s="9"/>
      <c r="W32" s="11"/>
      <c r="X32" s="11"/>
      <c r="Y32" s="11"/>
      <c r="Z32" s="11"/>
      <c r="AA32" s="11"/>
      <c r="AB32" s="9"/>
      <c r="AC32" s="9"/>
      <c r="AD32" s="11"/>
      <c r="AE32" s="11"/>
    </row>
    <row r="33" spans="1:31" ht="15.75" thickBot="1" x14ac:dyDescent="0.3">
      <c r="A33" s="7" t="s">
        <v>284</v>
      </c>
      <c r="B33" s="13" t="s">
        <v>285</v>
      </c>
      <c r="C33" s="13" t="s">
        <v>286</v>
      </c>
      <c r="D33" s="13" t="s">
        <v>287</v>
      </c>
      <c r="E33" s="13" t="s">
        <v>287</v>
      </c>
      <c r="F33" s="13" t="s">
        <v>288</v>
      </c>
      <c r="G33" s="14" t="s">
        <v>288</v>
      </c>
      <c r="H33" s="14" t="s">
        <v>288</v>
      </c>
      <c r="I33" s="15" t="s">
        <v>289</v>
      </c>
      <c r="J33" s="13" t="s">
        <v>290</v>
      </c>
      <c r="K33" s="13" t="s">
        <v>291</v>
      </c>
      <c r="L33" s="11"/>
      <c r="M33" s="11"/>
      <c r="N33" s="9"/>
      <c r="O33" s="9"/>
      <c r="P33" s="11"/>
      <c r="Q33" s="11"/>
      <c r="R33" s="11"/>
      <c r="S33" s="11"/>
      <c r="T33" s="11"/>
      <c r="U33" s="9"/>
      <c r="V33" s="9"/>
      <c r="W33" s="11"/>
      <c r="X33" s="11"/>
      <c r="Y33" s="11"/>
      <c r="Z33" s="11"/>
      <c r="AA33" s="11"/>
      <c r="AB33" s="9"/>
      <c r="AC33" s="9"/>
      <c r="AD33" s="11"/>
      <c r="AE33" s="11"/>
    </row>
    <row r="34" spans="1:31" ht="15.75" thickBot="1" x14ac:dyDescent="0.3">
      <c r="A34" s="7" t="s">
        <v>292</v>
      </c>
      <c r="B34" s="13" t="s">
        <v>293</v>
      </c>
      <c r="C34" s="13" t="s">
        <v>294</v>
      </c>
      <c r="D34" s="13" t="s">
        <v>294</v>
      </c>
      <c r="E34" s="13" t="s">
        <v>294</v>
      </c>
      <c r="F34" s="13" t="s">
        <v>295</v>
      </c>
      <c r="G34" s="14" t="s">
        <v>295</v>
      </c>
      <c r="H34" s="14" t="s">
        <v>295</v>
      </c>
      <c r="I34" s="15" t="s">
        <v>295</v>
      </c>
      <c r="J34" s="13" t="s">
        <v>295</v>
      </c>
      <c r="K34" s="13" t="s">
        <v>295</v>
      </c>
      <c r="L34" s="11"/>
      <c r="M34" s="11"/>
      <c r="N34" s="9"/>
      <c r="O34" s="9"/>
      <c r="P34" s="11"/>
      <c r="Q34" s="11"/>
      <c r="R34" s="11"/>
      <c r="S34" s="11"/>
      <c r="T34" s="11"/>
      <c r="U34" s="9"/>
      <c r="V34" s="9"/>
      <c r="W34" s="11"/>
      <c r="X34" s="11"/>
      <c r="Y34" s="11"/>
      <c r="Z34" s="11"/>
      <c r="AA34" s="11"/>
      <c r="AB34" s="9"/>
      <c r="AC34" s="9"/>
      <c r="AD34" s="11"/>
      <c r="AE34" s="11"/>
    </row>
    <row r="35" spans="1:31" ht="15.75" thickBot="1" x14ac:dyDescent="0.3">
      <c r="A35" s="7" t="s">
        <v>296</v>
      </c>
      <c r="B35" s="13" t="s">
        <v>293</v>
      </c>
      <c r="C35" s="13" t="s">
        <v>297</v>
      </c>
      <c r="D35" s="13" t="s">
        <v>298</v>
      </c>
      <c r="E35" s="13" t="s">
        <v>298</v>
      </c>
      <c r="F35" s="13" t="s">
        <v>293</v>
      </c>
      <c r="G35" s="14" t="s">
        <v>293</v>
      </c>
      <c r="H35" s="14" t="s">
        <v>293</v>
      </c>
      <c r="I35" s="15" t="s">
        <v>293</v>
      </c>
      <c r="J35" s="13" t="s">
        <v>299</v>
      </c>
      <c r="K35" s="13" t="s">
        <v>300</v>
      </c>
      <c r="L35" s="11"/>
      <c r="M35" s="11"/>
      <c r="N35" s="9"/>
      <c r="O35" s="9"/>
      <c r="P35" s="11"/>
      <c r="Q35" s="11"/>
      <c r="R35" s="11"/>
      <c r="S35" s="11"/>
      <c r="T35" s="11"/>
      <c r="U35" s="9"/>
      <c r="V35" s="9"/>
      <c r="W35" s="11"/>
      <c r="X35" s="11"/>
      <c r="Y35" s="11"/>
      <c r="Z35" s="11"/>
      <c r="AA35" s="11"/>
      <c r="AB35" s="9"/>
      <c r="AC35" s="9"/>
      <c r="AD35" s="11"/>
      <c r="AE35" s="11"/>
    </row>
    <row r="36" spans="1:31" ht="30.75" thickBot="1" x14ac:dyDescent="0.3">
      <c r="A36" s="7" t="s">
        <v>301</v>
      </c>
      <c r="B36" s="13" t="s">
        <v>302</v>
      </c>
      <c r="C36" s="13" t="s">
        <v>303</v>
      </c>
      <c r="D36" s="13" t="s">
        <v>304</v>
      </c>
      <c r="E36" s="13" t="s">
        <v>304</v>
      </c>
      <c r="F36" s="13" t="s">
        <v>305</v>
      </c>
      <c r="G36" s="14" t="s">
        <v>305</v>
      </c>
      <c r="H36" s="14" t="s">
        <v>305</v>
      </c>
      <c r="I36" s="15" t="s">
        <v>306</v>
      </c>
      <c r="J36" s="13" t="s">
        <v>307</v>
      </c>
      <c r="K36" s="13" t="s">
        <v>308</v>
      </c>
      <c r="L36" s="11"/>
      <c r="M36" s="11"/>
      <c r="N36" s="9"/>
      <c r="O36" s="9"/>
      <c r="P36" s="11"/>
      <c r="Q36" s="11"/>
      <c r="R36" s="11"/>
      <c r="S36" s="11"/>
      <c r="T36" s="11"/>
      <c r="U36" s="9"/>
      <c r="V36" s="9"/>
      <c r="W36" s="11"/>
      <c r="X36" s="11"/>
      <c r="Y36" s="11"/>
      <c r="Z36" s="11"/>
      <c r="AA36" s="11"/>
      <c r="AB36" s="9"/>
      <c r="AC36" s="9"/>
      <c r="AD36" s="11"/>
      <c r="AE36" s="11"/>
    </row>
    <row r="37" spans="1:31" ht="30.75" thickBot="1" x14ac:dyDescent="0.3">
      <c r="A37" s="7" t="s">
        <v>309</v>
      </c>
      <c r="B37" s="13" t="s">
        <v>293</v>
      </c>
      <c r="C37" s="13" t="s">
        <v>310</v>
      </c>
      <c r="D37" s="13" t="s">
        <v>311</v>
      </c>
      <c r="E37" s="13" t="s">
        <v>311</v>
      </c>
      <c r="F37" s="13" t="s">
        <v>312</v>
      </c>
      <c r="G37" s="14" t="s">
        <v>312</v>
      </c>
      <c r="H37" s="14" t="s">
        <v>312</v>
      </c>
      <c r="I37" s="15" t="s">
        <v>313</v>
      </c>
      <c r="J37" s="13" t="s">
        <v>314</v>
      </c>
      <c r="K37" s="13" t="s">
        <v>293</v>
      </c>
      <c r="L37" s="11"/>
      <c r="M37" s="11"/>
      <c r="N37" s="9"/>
      <c r="O37" s="9"/>
      <c r="P37" s="11"/>
      <c r="Q37" s="11"/>
      <c r="R37" s="11"/>
      <c r="S37" s="11"/>
      <c r="T37" s="11"/>
      <c r="U37" s="9"/>
      <c r="V37" s="9"/>
      <c r="W37" s="11"/>
      <c r="X37" s="11"/>
      <c r="Y37" s="11"/>
      <c r="Z37" s="11"/>
      <c r="AA37" s="11"/>
      <c r="AB37" s="9"/>
      <c r="AC37" s="9"/>
      <c r="AD37" s="11"/>
      <c r="AE37" s="11"/>
    </row>
    <row r="38" spans="1:31" ht="15.75" thickBot="1" x14ac:dyDescent="0.3">
      <c r="A38" s="7" t="s">
        <v>315</v>
      </c>
      <c r="B38" s="13" t="s">
        <v>293</v>
      </c>
      <c r="C38" s="13" t="s">
        <v>316</v>
      </c>
      <c r="D38" s="13" t="s">
        <v>317</v>
      </c>
      <c r="E38" s="13" t="s">
        <v>317</v>
      </c>
      <c r="F38" s="13" t="s">
        <v>318</v>
      </c>
      <c r="G38" s="14" t="s">
        <v>318</v>
      </c>
      <c r="H38" s="14" t="s">
        <v>318</v>
      </c>
      <c r="I38" s="15" t="s">
        <v>318</v>
      </c>
      <c r="J38" s="13" t="s">
        <v>319</v>
      </c>
      <c r="K38" s="13" t="s">
        <v>320</v>
      </c>
      <c r="L38" s="11"/>
      <c r="M38" s="11"/>
      <c r="N38" s="9"/>
      <c r="O38" s="9"/>
      <c r="P38" s="11"/>
      <c r="Q38" s="11"/>
      <c r="R38" s="11"/>
      <c r="S38" s="11"/>
      <c r="T38" s="11"/>
      <c r="U38" s="9"/>
      <c r="V38" s="9"/>
      <c r="W38" s="11"/>
      <c r="X38" s="11"/>
      <c r="Y38" s="11"/>
      <c r="Z38" s="11"/>
      <c r="AA38" s="11"/>
      <c r="AB38" s="9"/>
      <c r="AC38" s="9"/>
      <c r="AD38" s="11"/>
      <c r="AE38" s="11"/>
    </row>
    <row r="39" spans="1:31" ht="15.75" thickBot="1" x14ac:dyDescent="0.3">
      <c r="A39" s="16"/>
      <c r="B39" s="16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</row>
    <row r="40" spans="1:31" ht="31.5" thickTop="1" thickBot="1" x14ac:dyDescent="0.3">
      <c r="A40" s="18" t="s">
        <v>321</v>
      </c>
      <c r="B40" s="19">
        <v>8</v>
      </c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</row>
    <row r="41" spans="1:31" ht="16.5" thickTop="1" thickBot="1" x14ac:dyDescent="0.3">
      <c r="A41" s="20" t="e">
        <v>#NAME?</v>
      </c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  <c r="AE41" s="21"/>
    </row>
    <row r="42" spans="1:31" ht="16.5" thickTop="1" thickBot="1" x14ac:dyDescent="0.3">
      <c r="A42" s="16"/>
      <c r="B42" s="16"/>
      <c r="C42" s="16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7"/>
    </row>
    <row r="43" spans="1:31" ht="16.5" thickTop="1" thickBot="1" x14ac:dyDescent="0.3">
      <c r="A43" s="22" t="s">
        <v>322</v>
      </c>
      <c r="B43" s="23">
        <v>45852</v>
      </c>
      <c r="C43" s="24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</row>
    <row r="44" spans="1:31" ht="15.75" thickTop="1" x14ac:dyDescent="0.25"/>
  </sheetData>
  <mergeCells count="1">
    <mergeCell ref="B2:F2"/>
  </mergeCells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Traceability</vt:lpstr>
      <vt:lpstr>Test_Cases</vt:lpstr>
      <vt:lpstr>Smoke</vt:lpstr>
      <vt:lpstr>Regression</vt:lpstr>
      <vt:lpstr>Defects</vt:lpstr>
      <vt:lpstr>Metrics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Wiam BA</dc:creator>
  <cp:lastModifiedBy>Wiam BA</cp:lastModifiedBy>
  <dcterms:created xsi:type="dcterms:W3CDTF">2026-01-25T15:30:27Z</dcterms:created>
  <dcterms:modified xsi:type="dcterms:W3CDTF">2026-02-04T21:07:00Z</dcterms:modified>
</cp:coreProperties>
</file>