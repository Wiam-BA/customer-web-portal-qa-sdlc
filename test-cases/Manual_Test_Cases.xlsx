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tst\Downloads\"/>
    </mc:Choice>
  </mc:AlternateContent>
  <xr:revisionPtr revIDLastSave="0" documentId="13_ncr:1_{52251CB0-1193-4973-B3E4-A8EEBA8DAFDC}" xr6:coauthVersionLast="47" xr6:coauthVersionMax="47" xr10:uidLastSave="{00000000-0000-0000-0000-000000000000}"/>
  <bookViews>
    <workbookView xWindow="-120" yWindow="-120" windowWidth="29040" windowHeight="15720" xr2:uid="{3605F817-5E32-4F94-A443-7EE6AE114249}"/>
  </bookViews>
  <sheets>
    <sheet name="Metrics" sheetId="6" r:id="rId1"/>
    <sheet name="Traceability" sheetId="4" r:id="rId2"/>
    <sheet name="Test_Cases" sheetId="1" r:id="rId3"/>
    <sheet name="Smoke" sheetId="2" r:id="rId4"/>
    <sheet name="Regression" sheetId="3" r:id="rId5"/>
    <sheet name="Defects" sheetId="5" r:id="rId6"/>
  </sheets>
  <definedNames>
    <definedName name="dates" localSheetId="0">OFFSET(Metrics!$B$47,0,0,1,COUNTA(Metrics!$B$47:$ZZ$47))</definedName>
    <definedName name="datesJF" localSheetId="0">OFFSET(Metrics!$B$60,0,0,1,COUNTA(Metrics!$B$60:$ZZ$60))</definedName>
    <definedName name="Datesutiles" localSheetId="0">OFFSET(Metrics!$A$58,0,0,1,COUNTA(Metrics!$A$58:$ZZ$58))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54" i="6" l="1"/>
  <c r="I48" i="6"/>
  <c r="H48" i="6"/>
  <c r="G48" i="6"/>
  <c r="F48" i="6"/>
  <c r="A72" i="6"/>
  <c r="A73" i="6"/>
  <c r="A71" i="6"/>
  <c r="A70" i="6"/>
  <c r="A69" i="6"/>
  <c r="A68" i="6"/>
  <c r="A67" i="6"/>
  <c r="A66" i="6"/>
  <c r="A65" i="6"/>
  <c r="A64" i="6"/>
  <c r="A63" i="6"/>
  <c r="A62" i="6"/>
  <c r="B61" i="6"/>
  <c r="A58" i="6" a="1"/>
  <c r="C58" i="6" s="1"/>
  <c r="B57" i="6" a="1"/>
  <c r="B57" i="6" s="1"/>
  <c r="L48" i="6" s="1"/>
  <c r="F4" i="6"/>
  <c r="F5" i="6" s="1"/>
  <c r="E4" i="6"/>
  <c r="E5" i="6" s="1"/>
  <c r="D4" i="6"/>
  <c r="D5" i="6" s="1"/>
  <c r="C4" i="6"/>
  <c r="B4" i="6"/>
  <c r="G4" i="6" s="1"/>
  <c r="B5" i="6" s="1"/>
  <c r="O3" i="5"/>
  <c r="O2" i="5"/>
  <c r="M48" i="6" l="1"/>
  <c r="C5" i="6"/>
  <c r="J48" i="6"/>
  <c r="K48" i="6"/>
  <c r="E48" i="6"/>
  <c r="D48" i="6"/>
  <c r="C48" i="6"/>
  <c r="B48" i="6"/>
  <c r="B58" i="6"/>
  <c r="D58" i="6"/>
  <c r="G58" i="6"/>
  <c r="H58" i="6"/>
  <c r="E58" i="6"/>
  <c r="F58" i="6"/>
  <c r="A58" i="6"/>
  <c r="L49" i="6" l="1"/>
  <c r="L50" i="6" s="1"/>
  <c r="M49" i="6"/>
  <c r="M50" i="6" s="1"/>
  <c r="K49" i="6"/>
  <c r="K50" i="6" s="1"/>
  <c r="F49" i="6"/>
  <c r="F50" i="6" s="1"/>
  <c r="G49" i="6"/>
  <c r="G50" i="6" s="1"/>
  <c r="E49" i="6"/>
  <c r="E50" i="6" s="1"/>
  <c r="D49" i="6"/>
  <c r="D50" i="6" s="1"/>
  <c r="C49" i="6"/>
  <c r="C50" i="6" s="1"/>
  <c r="I49" i="6"/>
  <c r="I50" i="6" s="1"/>
  <c r="H49" i="6"/>
  <c r="H50" i="6" s="1"/>
  <c r="B49" i="6"/>
  <c r="B50" i="6" s="1"/>
  <c r="J49" i="6"/>
  <c r="J50" i="6" s="1"/>
</calcChain>
</file>

<file path=xl/sharedStrings.xml><?xml version="1.0" encoding="utf-8"?>
<sst xmlns="http://schemas.openxmlformats.org/spreadsheetml/2006/main" count="1015" uniqueCount="292">
  <si>
    <t>TC_ID</t>
  </si>
  <si>
    <t>Feature</t>
  </si>
  <si>
    <t>Scenario_ID</t>
  </si>
  <si>
    <t>Test Case Title</t>
  </si>
  <si>
    <t>Priority</t>
  </si>
  <si>
    <t>Preconditions</t>
  </si>
  <si>
    <t>Test Data</t>
  </si>
  <si>
    <t>Steps</t>
  </si>
  <si>
    <t>Expected Result</t>
  </si>
  <si>
    <t>Execution Type</t>
  </si>
  <si>
    <t>Automation Candidate</t>
  </si>
  <si>
    <t>Status</t>
  </si>
  <si>
    <t>Notes</t>
  </si>
  <si>
    <t>TC-001</t>
  </si>
  <si>
    <t>Authentication</t>
  </si>
  <si>
    <t>AUTH-01</t>
  </si>
  <si>
    <t>Register with valid data</t>
  </si>
  <si>
    <t>P0</t>
  </si>
  <si>
    <t>User not registered</t>
  </si>
  <si>
    <t>valid email; strong password</t>
  </si>
  <si>
    <t>1) Open Register 2) Enter valid email 3) Enter strong password 4) Submit registration</t>
  </si>
  <si>
    <t>Registration succeeds; account created; user can proceed to login</t>
  </si>
  <si>
    <t>Manual</t>
  </si>
  <si>
    <t>Yes</t>
  </si>
  <si>
    <t>Use unique email each run</t>
  </si>
  <si>
    <t>TC-002</t>
  </si>
  <si>
    <t>AUTH-02</t>
  </si>
  <si>
    <t>Register with already used email</t>
  </si>
  <si>
    <t>P1</t>
  </si>
  <si>
    <t>Email already exists</t>
  </si>
  <si>
    <t>existing email; valid password</t>
  </si>
  <si>
    <t>1) Open Register 2) Enter existing email 3) Enter valid password 4) Submit</t>
  </si>
  <si>
    <t>Error displayed; registration blocked</t>
  </si>
  <si>
    <t>No</t>
  </si>
  <si>
    <t>TC-003</t>
  </si>
  <si>
    <t>AUTH-03</t>
  </si>
  <si>
    <t>Register with invalid email format</t>
  </si>
  <si>
    <t>invalid email (e.g., user@)</t>
  </si>
  <si>
    <t>1) Open Register 2) Enter invalid email 3) Enter valid password 4) Submit</t>
  </si>
  <si>
    <t>Validation error displayed; registration blocked</t>
  </si>
  <si>
    <t>TC-004</t>
  </si>
  <si>
    <t>AUTH-04</t>
  </si>
  <si>
    <t>Register with weak password</t>
  </si>
  <si>
    <t>valid email; weak password</t>
  </si>
  <si>
    <t>1) Open Register 2) Enter valid email 3) Enter weak password 4) Submit</t>
  </si>
  <si>
    <t>Password rule message shown; registration blocked</t>
  </si>
  <si>
    <t>Define password policy in docs if needed</t>
  </si>
  <si>
    <t>TC-005</t>
  </si>
  <si>
    <t>AUTH-05</t>
  </si>
  <si>
    <t>Login with valid credentials</t>
  </si>
  <si>
    <t>User exists</t>
  </si>
  <si>
    <t>valid email; correct password</t>
  </si>
  <si>
    <t>1) Open Login 2) Enter valid email 3) Enter correct password 4) Submit</t>
  </si>
  <si>
    <t>User logged in; redirected to home/portal; session created</t>
  </si>
  <si>
    <t>TC-006</t>
  </si>
  <si>
    <t>AUTH-06</t>
  </si>
  <si>
    <t>Login with invalid password</t>
  </si>
  <si>
    <t>valid email; wrong password</t>
  </si>
  <si>
    <t>1) Open Login 2) Enter valid email 3) Enter wrong password 4) Submit</t>
  </si>
  <si>
    <t>Error displayed; user not logged in</t>
  </si>
  <si>
    <t>TC-007</t>
  </si>
  <si>
    <t>AUTH-07</t>
  </si>
  <si>
    <t>Login with non-existent account</t>
  </si>
  <si>
    <t>User does not exist</t>
  </si>
  <si>
    <t>non-existent email; any password</t>
  </si>
  <si>
    <t>1) Open Login 2) Enter non-existent email 3) Enter password 4) Submit</t>
  </si>
  <si>
    <t>TC-008</t>
  </si>
  <si>
    <t>AUTH-08</t>
  </si>
  <si>
    <t>Logout</t>
  </si>
  <si>
    <t>User logged in</t>
  </si>
  <si>
    <t>N/A</t>
  </si>
  <si>
    <t>1) Click Logout</t>
  </si>
  <si>
    <t>User logged out; redirected to login page; session terminated</t>
  </si>
  <si>
    <t>TC-009</t>
  </si>
  <si>
    <t>AUTH-09</t>
  </si>
  <si>
    <t>Access protected page while logged out</t>
  </si>
  <si>
    <t>User logged out</t>
  </si>
  <si>
    <t>1) Open a protected URL (e.g., /cart or /history)</t>
  </si>
  <si>
    <t>Redirected to login; no protected data shown</t>
  </si>
  <si>
    <t>TC-010</t>
  </si>
  <si>
    <t>AUTH-10</t>
  </si>
  <si>
    <t>Session expired handling</t>
  </si>
  <si>
    <t>User logged in then session expires</t>
  </si>
  <si>
    <t>1) Log in 2) Expire session (wait or invalidate) 3) Attempt navigation or action</t>
  </si>
  <si>
    <t>User is prompted to log in again; action blocked safely</t>
  </si>
  <si>
    <t>Can simulate by clearing cookies</t>
  </si>
  <si>
    <t>TC-011</t>
  </si>
  <si>
    <t>Product Browsing</t>
  </si>
  <si>
    <t>PROD-01</t>
  </si>
  <si>
    <t>View product list successfully</t>
  </si>
  <si>
    <t>Product catalog available</t>
  </si>
  <si>
    <t>1) Navigate to Products/List page</t>
  </si>
  <si>
    <t>Product list displayed with name + price</t>
  </si>
  <si>
    <t>TC-012</t>
  </si>
  <si>
    <t>PROD-02</t>
  </si>
  <si>
    <t>Product list empty state</t>
  </si>
  <si>
    <t>P2</t>
  </si>
  <si>
    <t>No products available</t>
  </si>
  <si>
    <t>1) Navigate to Products/List page with empty dataset</t>
  </si>
  <si>
    <t>Empty state message shown; UI stable</t>
  </si>
  <si>
    <t>TC-013</t>
  </si>
  <si>
    <t>PROD-05</t>
  </si>
  <si>
    <t>Product loading failure handling</t>
  </si>
  <si>
    <t>API returns error/timeout</t>
  </si>
  <si>
    <t>1) Navigate to Products/List 2) Simulate API failure</t>
  </si>
  <si>
    <t>Error message shown; retry possible; no crash</t>
  </si>
  <si>
    <t>Use devtools/network throttling if needed</t>
  </si>
  <si>
    <t>TC-014</t>
  </si>
  <si>
    <t>Cart Management</t>
  </si>
  <si>
    <t>CART-01</t>
  </si>
  <si>
    <t>Add product to cart</t>
  </si>
  <si>
    <t>User logged in; product exists</t>
  </si>
  <si>
    <t>Product A</t>
  </si>
  <si>
    <t>1) Open Products 2) Click Add to Cart on Product A</t>
  </si>
  <si>
    <t>Cart updated; product appears in cart; count/summary updated</t>
  </si>
  <si>
    <t>TC-015</t>
  </si>
  <si>
    <t>CART-02</t>
  </si>
  <si>
    <t>Add same product twice (quantity behavior)</t>
  </si>
  <si>
    <t>1) Add Product A to cart 2) Add Product A again</t>
  </si>
  <si>
    <t>Quantity increases or duplicate behavior matches requirement</t>
  </si>
  <si>
    <t>Clarify expected behavior in requirements</t>
  </si>
  <si>
    <t>TC-016</t>
  </si>
  <si>
    <t>CART-03</t>
  </si>
  <si>
    <t>Update quantity in cart</t>
  </si>
  <si>
    <t>User logged in; product in cart</t>
  </si>
  <si>
    <t>Product A; qty change (e.g., 1→2)</t>
  </si>
  <si>
    <t>1) Open Cart 2) Change quantity 3) Save/update</t>
  </si>
  <si>
    <t>Quantity updated; totals recalculated correctly</t>
  </si>
  <si>
    <t>TC-017</t>
  </si>
  <si>
    <t>CART-04</t>
  </si>
  <si>
    <t>Remove item from cart</t>
  </si>
  <si>
    <t>1) Open Cart 2) Remove Product A</t>
  </si>
  <si>
    <t>Item removed; totals updated; cart state correct</t>
  </si>
  <si>
    <t>TC-018</t>
  </si>
  <si>
    <t>CART-05</t>
  </si>
  <si>
    <t>Cart persistence during navigation</t>
  </si>
  <si>
    <t>1) Add Product A 2) Navigate to Products/Home/History 3) Return to Cart</t>
  </si>
  <si>
    <t>Cart still contains Product A during session</t>
  </si>
  <si>
    <t>TC-019</t>
  </si>
  <si>
    <t>CART-06</t>
  </si>
  <si>
    <t>Empty cart state</t>
  </si>
  <si>
    <t>User logged in; cart empty</t>
  </si>
  <si>
    <t>1) Open Cart with no items</t>
  </si>
  <si>
    <t>Empty state shown; checkout disabled or blocked</t>
  </si>
  <si>
    <t>TC-020</t>
  </si>
  <si>
    <t>Checkout</t>
  </si>
  <si>
    <t>CHK-01</t>
  </si>
  <si>
    <t>Checkout happy path (payment success)</t>
  </si>
  <si>
    <t>User logged in; cart has items</t>
  </si>
  <si>
    <t>Product A; payment mock=success</t>
  </si>
  <si>
    <t>1) Add item to cart 2) Open Cart 3) Proceed to Checkout 4) Confirm payment (mock success)</t>
  </si>
  <si>
    <t>Order created; confirmation shown; cart cleared</t>
  </si>
  <si>
    <t>TC-021</t>
  </si>
  <si>
    <t>CHK-02</t>
  </si>
  <si>
    <t>Attempt checkout with empty cart</t>
  </si>
  <si>
    <t>1) Navigate to Checkout with empty cart</t>
  </si>
  <si>
    <t>Checkout blocked; user informed; no order created</t>
  </si>
  <si>
    <t>TC-022</t>
  </si>
  <si>
    <t>CHK-03</t>
  </si>
  <si>
    <t>Payment failure handling (mocked)</t>
  </si>
  <si>
    <t>Product A; payment mock=failure</t>
  </si>
  <si>
    <t>1) Add item 2) Proceed to checkout 3) Trigger payment failure</t>
  </si>
  <si>
    <t>Order not created; clear error shown; cart retained</t>
  </si>
  <si>
    <t>TC-023</t>
  </si>
  <si>
    <t>CHK-05</t>
  </si>
  <si>
    <t>Prevent duplicate order submission</t>
  </si>
  <si>
    <t>1) Proceed to checkout 2) Double-click confirm or refresh at confirm step</t>
  </si>
  <si>
    <t>Only one order created; duplicates prevented</t>
  </si>
  <si>
    <t>TC-024</t>
  </si>
  <si>
    <t>Purchase History</t>
  </si>
  <si>
    <t>HIST-01</t>
  </si>
  <si>
    <t>View purchase history after checkout</t>
  </si>
  <si>
    <t>User logged in; at least 1 order exists</t>
  </si>
  <si>
    <t>Order created from TC-020</t>
  </si>
  <si>
    <t>1) Complete checkout 2) Navigate to Purchase History</t>
  </si>
  <si>
    <t>New order appears with correct items/date</t>
  </si>
  <si>
    <t>TC-025</t>
  </si>
  <si>
    <t>HIST-02</t>
  </si>
  <si>
    <t>Purchase history empty state</t>
  </si>
  <si>
    <t>User logged in; no orders</t>
  </si>
  <si>
    <t>1) Navigate to Purchase History with no orders</t>
  </si>
  <si>
    <t>TC-026</t>
  </si>
  <si>
    <t>HIST-03</t>
  </si>
  <si>
    <t>Purchase history data accuracy</t>
  </si>
  <si>
    <t>User logged in; order exists</t>
  </si>
  <si>
    <t>Order with known items/prices</t>
  </si>
  <si>
    <t>1) Open Purchase History 2) Open order details (if available)</t>
  </si>
  <si>
    <t>Items/prices match completed order; no missing entries</t>
  </si>
  <si>
    <t>TC-027</t>
  </si>
  <si>
    <t>HIST-04</t>
  </si>
  <si>
    <t>Access purchase history while logged out</t>
  </si>
  <si>
    <t>1) Open Purchase History URL directly</t>
  </si>
  <si>
    <t>Redirected to login; no data exposed</t>
  </si>
  <si>
    <t>Suite</t>
  </si>
  <si>
    <t>Smoke</t>
  </si>
  <si>
    <t>Column1</t>
  </si>
  <si>
    <t>Regression</t>
  </si>
  <si>
    <t>P0+P1</t>
  </si>
  <si>
    <t>US_ID</t>
  </si>
  <si>
    <t>User Story</t>
  </si>
  <si>
    <t>Coverage Type</t>
  </si>
  <si>
    <t>US-001</t>
  </si>
  <si>
    <t>As a new user, I can register an account to access the portal.</t>
  </si>
  <si>
    <t>Positive</t>
  </si>
  <si>
    <t>Negative</t>
  </si>
  <si>
    <t>US-002</t>
  </si>
  <si>
    <t>As a returning user, I can log in and log out securely.</t>
  </si>
  <si>
    <t>As a returning user, I can log out to end my session.</t>
  </si>
  <si>
    <t>US-003</t>
  </si>
  <si>
    <t>As a user, I can browse available digital products.</t>
  </si>
  <si>
    <t>As a user, I see clear feedback if products cannot be loaded.</t>
  </si>
  <si>
    <t>US-004</t>
  </si>
  <si>
    <t>As a user, I can add products to my cart.</t>
  </si>
  <si>
    <t>As a user, I can update quantities in my cart.</t>
  </si>
  <si>
    <t>As a user, I can remove items from my cart.</t>
  </si>
  <si>
    <t>As a user, my cart remains consistent while navigating.</t>
  </si>
  <si>
    <t>Behavior</t>
  </si>
  <si>
    <t>As a user, I see an empty cart state when no items exist.</t>
  </si>
  <si>
    <t>US-005</t>
  </si>
  <si>
    <t>As a user, I can checkout successfully using a mocked payment flow.</t>
  </si>
  <si>
    <t>As a user, checkout is blocked when the cart is empty.</t>
  </si>
  <si>
    <t>As a user, I see clear messaging if payment fails.</t>
  </si>
  <si>
    <t>As a user, the system prevents duplicate orders.</t>
  </si>
  <si>
    <t>US-006</t>
  </si>
  <si>
    <t>As a user, I can view my purchase history.</t>
  </si>
  <si>
    <t>As a user, I see an empty state when I have no purchases.</t>
  </si>
  <si>
    <t>As a user, purchase history details are accurate.</t>
  </si>
  <si>
    <t>US-007</t>
  </si>
  <si>
    <t>As a user, I cannot access protected pages without authentication.</t>
  </si>
  <si>
    <t>Security</t>
  </si>
  <si>
    <t>As a user, I cannot access purchase history while logged out.</t>
  </si>
  <si>
    <t>US-008</t>
  </si>
  <si>
    <t>As a user, expired sessions are handled safely.</t>
  </si>
  <si>
    <t>Executed On</t>
  </si>
  <si>
    <t>Executed By</t>
  </si>
  <si>
    <t>Defect ID</t>
  </si>
  <si>
    <t>2026-02-03</t>
  </si>
  <si>
    <t>2026-02-02</t>
  </si>
  <si>
    <t>2026-02-01</t>
  </si>
  <si>
    <t>2026-01-31</t>
  </si>
  <si>
    <t>2026-01-30</t>
  </si>
  <si>
    <t>2026-02-04</t>
  </si>
  <si>
    <t>Wiam</t>
  </si>
  <si>
    <t>Tester 2</t>
  </si>
  <si>
    <t>Passed</t>
  </si>
  <si>
    <t>Failed</t>
  </si>
  <si>
    <t>BUG-109</t>
  </si>
  <si>
    <t>Investigate calculation; retest after fix.</t>
  </si>
  <si>
    <t>Blocked by environment/data limitation; pending decision or workaround.</t>
  </si>
  <si>
    <t>Blocked</t>
  </si>
  <si>
    <t>BUG-115</t>
  </si>
  <si>
    <t>Bug ID</t>
  </si>
  <si>
    <t>Summary</t>
  </si>
  <si>
    <t>Severity</t>
  </si>
  <si>
    <t>Detected In Build</t>
  </si>
  <si>
    <t>Reported By</t>
  </si>
  <si>
    <t>Assigned To</t>
  </si>
  <si>
    <t>Fix Version</t>
  </si>
  <si>
    <t>Comments</t>
  </si>
  <si>
    <t>Created On</t>
  </si>
  <si>
    <t>Closed On</t>
  </si>
  <si>
    <t>Reopened?</t>
  </si>
  <si>
    <t>Reopen Count</t>
  </si>
  <si>
    <t>Ageing (days)</t>
  </si>
  <si>
    <t>Checkout overview totals mismatch for tax/total</t>
  </si>
  <si>
    <t>Critical</t>
  </si>
  <si>
    <t>In Progress</t>
  </si>
  <si>
    <t>RC-3</t>
  </si>
  <si>
    <t>RC-4</t>
  </si>
  <si>
    <t>Blocks release unless accepted</t>
  </si>
  <si>
    <t>Purchase history not available / missing feature</t>
  </si>
  <si>
    <t>Minor</t>
  </si>
  <si>
    <t>Accepted</t>
  </si>
  <si>
    <t>RC-1</t>
  </si>
  <si>
    <t>Tester 3</t>
  </si>
  <si>
    <t>Dev 1</t>
  </si>
  <si>
    <t>PO 1</t>
  </si>
  <si>
    <t>Accepted as out-of-scope for mvp version</t>
  </si>
  <si>
    <t>Not Started</t>
  </si>
  <si>
    <t>KPI Execution Summary</t>
  </si>
  <si>
    <t>Item</t>
  </si>
  <si>
    <t>Nbr TC per day</t>
  </si>
  <si>
    <t>Target (nbr TC)</t>
  </si>
  <si>
    <t>Target %</t>
  </si>
  <si>
    <t>Blocked%</t>
  </si>
  <si>
    <t>Not started%</t>
  </si>
  <si>
    <t>In progress%</t>
  </si>
  <si>
    <t>Total test days</t>
  </si>
  <si>
    <t>Holidays</t>
  </si>
  <si>
    <t>Total TC</t>
  </si>
  <si>
    <t>Passed%</t>
  </si>
  <si>
    <t>Failed%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</si>
</sst>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FFFFFF"/>
      <name val="Calibri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8"/>
      <name val="Calibri"/>
      <family val="2"/>
      <scheme val="minor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1F4E79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8"/>
        <bgColor theme="8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theme="8"/>
      </patternFill>
    </fill>
  </fills>
  <borders count="2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theme="0"/>
      </left>
      <right/>
      <top style="thin">
        <color theme="4" tint="0.39997558519241921"/>
      </top>
      <bottom/>
      <diagonal/>
    </border>
    <border>
      <left style="thin">
        <color theme="0"/>
      </left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 style="thin">
        <color theme="8"/>
      </right>
      <top style="thin">
        <color theme="8"/>
      </top>
      <bottom style="thin">
        <color theme="8"/>
      </bottom>
      <diagonal/>
    </border>
    <border>
      <left style="thin">
        <color theme="8"/>
      </left>
      <right/>
      <top style="thin">
        <color theme="8"/>
      </top>
      <bottom style="thin">
        <color theme="8"/>
      </bottom>
      <diagonal/>
    </border>
    <border>
      <left style="thin">
        <color theme="8"/>
      </left>
      <right style="thin">
        <color theme="8"/>
      </right>
      <top/>
      <bottom style="thin">
        <color theme="8"/>
      </bottom>
      <diagonal/>
    </border>
    <border>
      <left style="medium">
        <color theme="8"/>
      </left>
      <right/>
      <top style="medium">
        <color theme="8"/>
      </top>
      <bottom/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8"/>
      </left>
      <right/>
      <top style="medium">
        <color theme="8"/>
      </top>
      <bottom style="medium">
        <color theme="8"/>
      </bottom>
      <diagonal/>
    </border>
    <border>
      <left/>
      <right/>
      <top/>
      <bottom style="medium">
        <color theme="8"/>
      </bottom>
      <diagonal/>
    </border>
    <border>
      <left/>
      <right/>
      <top style="medium">
        <color theme="8"/>
      </top>
      <bottom style="medium">
        <color theme="8"/>
      </bottom>
      <diagonal/>
    </border>
    <border>
      <left/>
      <right style="medium">
        <color theme="8"/>
      </right>
      <top style="medium">
        <color theme="8"/>
      </top>
      <bottom style="medium">
        <color theme="8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52">
    <xf numFmtId="0" fontId="0" fillId="0" borderId="0" xfId="0"/>
    <xf numFmtId="0" fontId="0" fillId="0" borderId="0" xfId="0" applyAlignment="1">
      <alignment wrapText="1"/>
    </xf>
    <xf numFmtId="0" fontId="2" fillId="3" borderId="0" xfId="0" applyFont="1" applyFill="1" applyAlignment="1">
      <alignment vertical="center" wrapText="1"/>
    </xf>
    <xf numFmtId="0" fontId="1" fillId="2" borderId="3" xfId="0" applyFont="1" applyFill="1" applyBorder="1"/>
    <xf numFmtId="0" fontId="0" fillId="4" borderId="6" xfId="0" applyFill="1" applyBorder="1"/>
    <xf numFmtId="0" fontId="0" fillId="6" borderId="0" xfId="0" applyFill="1" applyAlignment="1">
      <alignment vertical="center"/>
    </xf>
    <xf numFmtId="0" fontId="5" fillId="6" borderId="10" xfId="0" applyFont="1" applyFill="1" applyBorder="1" applyAlignment="1">
      <alignment horizontal="left" vertical="center"/>
    </xf>
    <xf numFmtId="1" fontId="4" fillId="6" borderId="11" xfId="0" applyNumberFormat="1" applyFont="1" applyFill="1" applyBorder="1" applyAlignment="1">
      <alignment vertical="center"/>
    </xf>
    <xf numFmtId="1" fontId="4" fillId="6" borderId="10" xfId="0" applyNumberFormat="1" applyFont="1" applyFill="1" applyBorder="1" applyAlignment="1">
      <alignment vertical="center"/>
    </xf>
    <xf numFmtId="1" fontId="4" fillId="7" borderId="10" xfId="0" applyNumberFormat="1" applyFont="1" applyFill="1" applyBorder="1" applyAlignment="1">
      <alignment vertical="center"/>
    </xf>
    <xf numFmtId="0" fontId="4" fillId="6" borderId="10" xfId="0" applyFont="1" applyFill="1" applyBorder="1" applyAlignment="1">
      <alignment vertical="center"/>
    </xf>
    <xf numFmtId="0" fontId="4" fillId="7" borderId="10" xfId="0" applyFont="1" applyFill="1" applyBorder="1" applyAlignment="1">
      <alignment vertical="center"/>
    </xf>
    <xf numFmtId="0" fontId="4" fillId="6" borderId="12" xfId="0" applyFont="1" applyFill="1" applyBorder="1" applyAlignment="1">
      <alignment vertical="center"/>
    </xf>
    <xf numFmtId="0" fontId="4" fillId="6" borderId="11" xfId="0" applyFont="1" applyFill="1" applyBorder="1" applyAlignment="1">
      <alignment vertical="center"/>
    </xf>
    <xf numFmtId="0" fontId="0" fillId="7" borderId="10" xfId="0" applyFill="1" applyBorder="1" applyAlignment="1">
      <alignment vertical="center"/>
    </xf>
    <xf numFmtId="1" fontId="4" fillId="6" borderId="12" xfId="0" applyNumberFormat="1" applyFont="1" applyFill="1" applyBorder="1" applyAlignment="1">
      <alignment vertical="center"/>
    </xf>
    <xf numFmtId="1" fontId="0" fillId="7" borderId="10" xfId="0" applyNumberFormat="1" applyFill="1" applyBorder="1" applyAlignment="1">
      <alignment vertical="center"/>
    </xf>
    <xf numFmtId="9" fontId="4" fillId="6" borderId="11" xfId="0" applyNumberFormat="1" applyFont="1" applyFill="1" applyBorder="1" applyAlignment="1">
      <alignment vertical="center"/>
    </xf>
    <xf numFmtId="9" fontId="4" fillId="6" borderId="10" xfId="0" applyNumberFormat="1" applyFont="1" applyFill="1" applyBorder="1" applyAlignment="1">
      <alignment vertical="center"/>
    </xf>
    <xf numFmtId="9" fontId="4" fillId="7" borderId="10" xfId="0" applyNumberFormat="1" applyFont="1" applyFill="1" applyBorder="1" applyAlignment="1">
      <alignment vertical="center"/>
    </xf>
    <xf numFmtId="9" fontId="4" fillId="6" borderId="13" xfId="0" applyNumberFormat="1" applyFont="1" applyFill="1" applyBorder="1" applyAlignment="1">
      <alignment vertical="center"/>
    </xf>
    <xf numFmtId="9" fontId="0" fillId="7" borderId="10" xfId="0" applyNumberFormat="1" applyFill="1" applyBorder="1" applyAlignment="1">
      <alignment vertical="center"/>
    </xf>
    <xf numFmtId="164" fontId="4" fillId="6" borderId="11" xfId="0" applyNumberFormat="1" applyFont="1" applyFill="1" applyBorder="1" applyAlignment="1">
      <alignment vertical="center"/>
    </xf>
    <xf numFmtId="164" fontId="4" fillId="6" borderId="10" xfId="0" applyNumberFormat="1" applyFont="1" applyFill="1" applyBorder="1" applyAlignment="1">
      <alignment vertical="center"/>
    </xf>
    <xf numFmtId="164" fontId="4" fillId="7" borderId="10" xfId="0" applyNumberFormat="1" applyFont="1" applyFill="1" applyBorder="1" applyAlignment="1">
      <alignment vertical="center"/>
    </xf>
    <xf numFmtId="164" fontId="4" fillId="6" borderId="12" xfId="0" applyNumberFormat="1" applyFont="1" applyFill="1" applyBorder="1" applyAlignment="1">
      <alignment vertical="center"/>
    </xf>
    <xf numFmtId="164" fontId="0" fillId="7" borderId="10" xfId="0" applyNumberFormat="1" applyFill="1" applyBorder="1" applyAlignment="1">
      <alignment vertical="center"/>
    </xf>
    <xf numFmtId="0" fontId="1" fillId="5" borderId="14" xfId="0" applyFont="1" applyFill="1" applyBorder="1" applyAlignment="1">
      <alignment vertical="center"/>
    </xf>
    <xf numFmtId="0" fontId="0" fillId="0" borderId="15" xfId="0" applyBorder="1" applyAlignment="1">
      <alignment vertical="center"/>
    </xf>
    <xf numFmtId="0" fontId="0" fillId="0" borderId="16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18" xfId="0" applyBorder="1" applyAlignment="1">
      <alignment vertical="center"/>
    </xf>
    <xf numFmtId="0" fontId="0" fillId="6" borderId="0" xfId="0" applyFill="1" applyAlignment="1">
      <alignment vertical="center" wrapText="1"/>
    </xf>
    <xf numFmtId="0" fontId="1" fillId="8" borderId="16" xfId="0" applyFont="1" applyFill="1" applyBorder="1" applyAlignment="1">
      <alignment vertical="center"/>
    </xf>
    <xf numFmtId="14" fontId="0" fillId="0" borderId="19" xfId="0" applyNumberFormat="1" applyBorder="1" applyAlignment="1">
      <alignment vertical="center"/>
    </xf>
    <xf numFmtId="14" fontId="0" fillId="0" borderId="15" xfId="0" applyNumberFormat="1" applyBorder="1" applyAlignment="1">
      <alignment vertical="center"/>
    </xf>
    <xf numFmtId="14" fontId="0" fillId="7" borderId="15" xfId="0" applyNumberFormat="1" applyFill="1" applyBorder="1" applyAlignment="1">
      <alignment vertical="center"/>
    </xf>
    <xf numFmtId="0" fontId="0" fillId="6" borderId="0" xfId="0" applyFill="1"/>
    <xf numFmtId="0" fontId="6" fillId="4" borderId="4" xfId="0" applyFont="1" applyFill="1" applyBorder="1"/>
    <xf numFmtId="164" fontId="6" fillId="4" borderId="4" xfId="1" applyNumberFormat="1" applyFont="1" applyFill="1" applyBorder="1"/>
    <xf numFmtId="1" fontId="4" fillId="9" borderId="10" xfId="0" applyNumberFormat="1" applyFont="1" applyFill="1" applyBorder="1" applyAlignment="1">
      <alignment vertical="center"/>
    </xf>
    <xf numFmtId="164" fontId="0" fillId="6" borderId="0" xfId="0" applyNumberFormat="1" applyFill="1"/>
    <xf numFmtId="0" fontId="1" fillId="10" borderId="5" xfId="0" applyFont="1" applyFill="1" applyBorder="1" applyAlignment="1">
      <alignment horizontal="left" vertical="center"/>
    </xf>
    <xf numFmtId="14" fontId="1" fillId="10" borderId="7" xfId="0" applyNumberFormat="1" applyFont="1" applyFill="1" applyBorder="1" applyAlignment="1">
      <alignment horizontal="center" vertical="center"/>
    </xf>
    <xf numFmtId="14" fontId="1" fillId="10" borderId="8" xfId="0" applyNumberFormat="1" applyFont="1" applyFill="1" applyBorder="1" applyAlignment="1">
      <alignment horizontal="center" vertical="center"/>
    </xf>
    <xf numFmtId="14" fontId="1" fillId="10" borderId="9" xfId="0" applyNumberFormat="1" applyFont="1" applyFill="1" applyBorder="1" applyAlignment="1">
      <alignment horizontal="center" vertical="center"/>
    </xf>
    <xf numFmtId="0" fontId="1" fillId="10" borderId="14" xfId="0" applyFont="1" applyFill="1" applyBorder="1" applyAlignment="1">
      <alignment vertical="center"/>
    </xf>
    <xf numFmtId="14" fontId="0" fillId="9" borderId="15" xfId="0" applyNumberFormat="1" applyFill="1" applyBorder="1" applyAlignment="1">
      <alignment vertic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9" fontId="4" fillId="9" borderId="10" xfId="0" applyNumberFormat="1" applyFont="1" applyFill="1" applyBorder="1" applyAlignment="1">
      <alignment vertical="center"/>
    </xf>
    <xf numFmtId="164" fontId="4" fillId="9" borderId="10" xfId="0" applyNumberFormat="1" applyFont="1" applyFill="1" applyBorder="1" applyAlignment="1">
      <alignment vertical="center"/>
    </xf>
  </cellXfs>
  <cellStyles count="2">
    <cellStyle name="Normal" xfId="0" builtinId="0"/>
    <cellStyle name="Percent" xfId="1" builtinId="5"/>
  </cellStyles>
  <dxfs count="4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C00000"/>
      </font>
      <fill>
        <patternFill>
          <bgColor theme="2" tint="-0.24994659260841701"/>
        </patternFill>
      </fill>
      <border>
        <left/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.0%"/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.0%"/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.0%"/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.0%"/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.0%"/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.0%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Execution Summary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bg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5D2-4C89-B739-19541357AD0B}"/>
              </c:ext>
            </c:extLst>
          </c:dPt>
          <c:dPt>
            <c:idx val="1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35D2-4C89-B739-19541357AD0B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5D2-4C89-B739-19541357AD0B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35D2-4C89-B739-19541357AD0B}"/>
              </c:ext>
            </c:extLst>
          </c:dPt>
          <c:dPt>
            <c:idx val="4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5D2-4C89-B739-19541357AD0B}"/>
              </c:ext>
            </c:extLst>
          </c:dPt>
          <c:dLbls>
            <c:dLbl>
              <c:idx val="0"/>
              <c:layout>
                <c:manualLayout>
                  <c:x val="0.1638158941472522"/>
                  <c:y val="0.10532490798691868"/>
                </c:manualLayout>
              </c:layout>
              <c:tx>
                <c:rich>
                  <a:bodyPr/>
                  <a:lstStyle/>
                  <a:p>
                    <a:fld id="{20378274-FF27-4BAC-B06D-777D89E8079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estFit"/>
              <c:showLegendKey val="1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35D2-4C89-B739-19541357AD0B}"/>
                </c:ext>
              </c:extLst>
            </c:dLbl>
            <c:dLbl>
              <c:idx val="1"/>
              <c:layout>
                <c:manualLayout>
                  <c:x val="0.13140265714208405"/>
                  <c:y val="6.4514069859604082E-4"/>
                </c:manualLayout>
              </c:layout>
              <c:tx>
                <c:rich>
                  <a:bodyPr/>
                  <a:lstStyle/>
                  <a:p>
                    <a:fld id="{C4D63335-BCB0-46D1-80D7-D9A23DA9086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estFit"/>
              <c:showLegendKey val="1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35D2-4C89-B739-19541357AD0B}"/>
                </c:ext>
              </c:extLst>
            </c:dLbl>
            <c:dLbl>
              <c:idx val="2"/>
              <c:layout>
                <c:manualLayout>
                  <c:x val="3.5955053352203108E-2"/>
                  <c:y val="1.1494250272818746E-2"/>
                </c:manualLayout>
              </c:layout>
              <c:tx>
                <c:rich>
                  <a:bodyPr/>
                  <a:lstStyle/>
                  <a:p>
                    <a:fld id="{334702F9-404A-487E-9E9D-7B7F3F673B3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estFit"/>
              <c:showLegendKey val="1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35D2-4C89-B739-19541357AD0B}"/>
                </c:ext>
              </c:extLst>
            </c:dLbl>
            <c:dLbl>
              <c:idx val="3"/>
              <c:layout>
                <c:manualLayout>
                  <c:x val="-3.1960047424180606E-2"/>
                  <c:y val="-1.1494250272818732E-2"/>
                </c:manualLayout>
              </c:layout>
              <c:tx>
                <c:rich>
                  <a:bodyPr/>
                  <a:lstStyle/>
                  <a:p>
                    <a:fld id="{A54A1932-D770-4838-B964-4303BEBFE58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estFit"/>
              <c:showLegendKey val="1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35D2-4C89-B739-19541357AD0B}"/>
                </c:ext>
              </c:extLst>
            </c:dLbl>
            <c:dLbl>
              <c:idx val="4"/>
              <c:layout>
                <c:manualLayout>
                  <c:x val="3.7580972481532087E-3"/>
                  <c:y val="-2.5862074060851871E-2"/>
                </c:manualLayout>
              </c:layout>
              <c:tx>
                <c:rich>
                  <a:bodyPr/>
                  <a:lstStyle/>
                  <a:p>
                    <a:fld id="{4D44B04B-155D-46F0-86B4-427F9773956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estFit"/>
              <c:showLegendKey val="1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35D2-4C89-B739-19541357AD0B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1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DataLabelsRange val="1"/>
              </c:ext>
            </c:extLst>
          </c:dLbls>
          <c:cat>
            <c:multiLvlStrRef>
              <c:f>Metrics!$B$3:$F$5</c:f>
              <c:multiLvlStrCache>
                <c:ptCount val="5"/>
                <c:lvl>
                  <c:pt idx="0">
                    <c:v>0</c:v>
                  </c:pt>
                  <c:pt idx="1">
                    <c:v>0</c:v>
                  </c:pt>
                  <c:pt idx="2">
                    <c:v>25</c:v>
                  </c:pt>
                  <c:pt idx="3">
                    <c:v>1</c:v>
                  </c:pt>
                  <c:pt idx="4">
                    <c:v>1</c:v>
                  </c:pt>
                </c:lvl>
                <c:lvl>
                  <c:pt idx="0">
                    <c:v>Not Started</c:v>
                  </c:pt>
                  <c:pt idx="1">
                    <c:v>In Progress</c:v>
                  </c:pt>
                  <c:pt idx="2">
                    <c:v>Passed</c:v>
                  </c:pt>
                  <c:pt idx="3">
                    <c:v>Failed</c:v>
                  </c:pt>
                  <c:pt idx="4">
                    <c:v>Blocked</c:v>
                  </c:pt>
                </c:lvl>
              </c:multiLvlStrCache>
            </c:multiLvlStrRef>
          </c:cat>
          <c:val>
            <c:numRef>
              <c:f>Metrics!$B$4:$F$4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25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Metrics!$B$5:$F$5</c15:f>
                <c15:dlblRangeCache>
                  <c:ptCount val="5"/>
                  <c:pt idx="0">
                    <c:v>0.0%</c:v>
                  </c:pt>
                  <c:pt idx="1">
                    <c:v>0.0%</c:v>
                  </c:pt>
                  <c:pt idx="2">
                    <c:v>92.6%</c:v>
                  </c:pt>
                  <c:pt idx="3">
                    <c:v>3.7%</c:v>
                  </c:pt>
                  <c:pt idx="4">
                    <c:v>3.7%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35D2-4C89-B739-19541357AD0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001"/>
              <a:t>Test </a:t>
            </a:r>
            <a:r>
              <a:rPr lang="en-US"/>
              <a:t>Daily Progress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percentStacked"/>
        <c:varyColors val="0"/>
        <c:ser>
          <c:idx val="5"/>
          <c:order val="1"/>
          <c:tx>
            <c:strRef>
              <c:f>Metrics!$A$51</c:f>
              <c:strCache>
                <c:ptCount val="1"/>
                <c:pt idx="0">
                  <c:v>Passed%</c:v>
                </c:pt>
              </c:strCache>
            </c:strRef>
          </c:tx>
          <c:spPr>
            <a:solidFill>
              <a:srgbClr val="70AD47"/>
            </a:solidFill>
            <a:ln>
              <a:noFill/>
            </a:ln>
            <a:effectLst/>
          </c:spPr>
          <c:invertIfNegative val="0"/>
          <c:cat>
            <c:numRef>
              <c:f>Metrics!$B$47:$M$47</c:f>
              <c:numCache>
                <c:formatCode>m/d/yyyy</c:formatCode>
                <c:ptCount val="12"/>
                <c:pt idx="0">
                  <c:v>46055</c:v>
                </c:pt>
                <c:pt idx="1">
                  <c:v>46056</c:v>
                </c:pt>
                <c:pt idx="2">
                  <c:v>46057</c:v>
                </c:pt>
                <c:pt idx="3">
                  <c:v>46058</c:v>
                </c:pt>
                <c:pt idx="4">
                  <c:v>46059</c:v>
                </c:pt>
                <c:pt idx="5">
                  <c:v>46060</c:v>
                </c:pt>
                <c:pt idx="6">
                  <c:v>46061</c:v>
                </c:pt>
                <c:pt idx="7">
                  <c:v>46062</c:v>
                </c:pt>
                <c:pt idx="8">
                  <c:v>46063</c:v>
                </c:pt>
                <c:pt idx="9">
                  <c:v>46064</c:v>
                </c:pt>
                <c:pt idx="10">
                  <c:v>46065</c:v>
                </c:pt>
                <c:pt idx="11">
                  <c:v>46066</c:v>
                </c:pt>
              </c:numCache>
            </c:numRef>
          </c:cat>
          <c:val>
            <c:numRef>
              <c:f>Metrics!$B$51:$M$51</c:f>
              <c:numCache>
                <c:formatCode>0.0%</c:formatCode>
                <c:ptCount val="12"/>
                <c:pt idx="0">
                  <c:v>6.1829787234042602E-2</c:v>
                </c:pt>
                <c:pt idx="1">
                  <c:v>0.11512027491408934</c:v>
                </c:pt>
                <c:pt idx="2">
                  <c:v>0.19387755102040816</c:v>
                </c:pt>
                <c:pt idx="3">
                  <c:v>0.19387755102040816</c:v>
                </c:pt>
                <c:pt idx="4">
                  <c:v>0.35584415584415585</c:v>
                </c:pt>
                <c:pt idx="5">
                  <c:v>0.35584415584415585</c:v>
                </c:pt>
                <c:pt idx="6">
                  <c:v>0.35584415584415585</c:v>
                </c:pt>
                <c:pt idx="7">
                  <c:v>0.35584415584415585</c:v>
                </c:pt>
                <c:pt idx="8">
                  <c:v>0.53246753246753242</c:v>
                </c:pt>
                <c:pt idx="9">
                  <c:v>0.62041884816753923</c:v>
                </c:pt>
                <c:pt idx="10">
                  <c:v>0.79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917-4462-B480-8A7B87F8AD14}"/>
            </c:ext>
          </c:extLst>
        </c:ser>
        <c:ser>
          <c:idx val="1"/>
          <c:order val="2"/>
          <c:tx>
            <c:strRef>
              <c:f>Metrics!$A$55</c:f>
              <c:strCache>
                <c:ptCount val="1"/>
                <c:pt idx="0">
                  <c:v>In progress%</c:v>
                </c:pt>
              </c:strCache>
            </c:strRef>
          </c:tx>
          <c:spPr>
            <a:solidFill>
              <a:schemeClr val="accent5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invertIfNegative val="0"/>
          <c:cat>
            <c:numRef>
              <c:f>Metrics!$B$47:$M$47</c:f>
              <c:numCache>
                <c:formatCode>m/d/yyyy</c:formatCode>
                <c:ptCount val="12"/>
                <c:pt idx="0">
                  <c:v>46055</c:v>
                </c:pt>
                <c:pt idx="1">
                  <c:v>46056</c:v>
                </c:pt>
                <c:pt idx="2">
                  <c:v>46057</c:v>
                </c:pt>
                <c:pt idx="3">
                  <c:v>46058</c:v>
                </c:pt>
                <c:pt idx="4">
                  <c:v>46059</c:v>
                </c:pt>
                <c:pt idx="5">
                  <c:v>46060</c:v>
                </c:pt>
                <c:pt idx="6">
                  <c:v>46061</c:v>
                </c:pt>
                <c:pt idx="7">
                  <c:v>46062</c:v>
                </c:pt>
                <c:pt idx="8">
                  <c:v>46063</c:v>
                </c:pt>
                <c:pt idx="9">
                  <c:v>46064</c:v>
                </c:pt>
                <c:pt idx="10">
                  <c:v>46065</c:v>
                </c:pt>
                <c:pt idx="11">
                  <c:v>46066</c:v>
                </c:pt>
              </c:numCache>
            </c:numRef>
          </c:cat>
          <c:val>
            <c:numRef>
              <c:f>Metrics!$B$55:$M$55</c:f>
              <c:numCache>
                <c:formatCode>0.0%</c:formatCode>
                <c:ptCount val="12"/>
                <c:pt idx="0">
                  <c:v>0</c:v>
                </c:pt>
                <c:pt idx="1">
                  <c:v>2.4054982817869417E-2</c:v>
                </c:pt>
                <c:pt idx="2">
                  <c:v>3.3163265306122451E-2</c:v>
                </c:pt>
                <c:pt idx="3">
                  <c:v>3.3163265306122451E-2</c:v>
                </c:pt>
                <c:pt idx="4">
                  <c:v>7.792207792207792E-2</c:v>
                </c:pt>
                <c:pt idx="5">
                  <c:v>7.792207792207792E-2</c:v>
                </c:pt>
                <c:pt idx="6">
                  <c:v>7.792207792207792E-2</c:v>
                </c:pt>
                <c:pt idx="7">
                  <c:v>7.792207792207792E-2</c:v>
                </c:pt>
                <c:pt idx="8">
                  <c:v>3.6363636363636362E-2</c:v>
                </c:pt>
                <c:pt idx="9">
                  <c:v>9.0999999999999998E-2</c:v>
                </c:pt>
                <c:pt idx="10">
                  <c:v>0.21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F917-4462-B480-8A7B87F8AD14}"/>
            </c:ext>
          </c:extLst>
        </c:ser>
        <c:ser>
          <c:idx val="0"/>
          <c:order val="3"/>
          <c:tx>
            <c:strRef>
              <c:f>Metrics!$A$54</c:f>
              <c:strCache>
                <c:ptCount val="1"/>
                <c:pt idx="0">
                  <c:v>Not started%</c:v>
                </c:pt>
              </c:strCache>
            </c:strRef>
          </c:tx>
          <c:spPr>
            <a:solidFill>
              <a:srgbClr val="BFBFBF"/>
            </a:solidFill>
            <a:ln w="25400">
              <a:noFill/>
            </a:ln>
            <a:effectLst/>
          </c:spPr>
          <c:invertIfNegative val="0"/>
          <c:cat>
            <c:numRef>
              <c:f>Metrics!$B$47:$M$47</c:f>
              <c:numCache>
                <c:formatCode>m/d/yyyy</c:formatCode>
                <c:ptCount val="12"/>
                <c:pt idx="0">
                  <c:v>46055</c:v>
                </c:pt>
                <c:pt idx="1">
                  <c:v>46056</c:v>
                </c:pt>
                <c:pt idx="2">
                  <c:v>46057</c:v>
                </c:pt>
                <c:pt idx="3">
                  <c:v>46058</c:v>
                </c:pt>
                <c:pt idx="4">
                  <c:v>46059</c:v>
                </c:pt>
                <c:pt idx="5">
                  <c:v>46060</c:v>
                </c:pt>
                <c:pt idx="6">
                  <c:v>46061</c:v>
                </c:pt>
                <c:pt idx="7">
                  <c:v>46062</c:v>
                </c:pt>
                <c:pt idx="8">
                  <c:v>46063</c:v>
                </c:pt>
                <c:pt idx="9">
                  <c:v>46064</c:v>
                </c:pt>
                <c:pt idx="10">
                  <c:v>46065</c:v>
                </c:pt>
                <c:pt idx="11">
                  <c:v>46066</c:v>
                </c:pt>
              </c:numCache>
            </c:numRef>
          </c:cat>
          <c:val>
            <c:numRef>
              <c:f>Metrics!$B$54:$M$54</c:f>
              <c:numCache>
                <c:formatCode>0.0%</c:formatCode>
                <c:ptCount val="12"/>
                <c:pt idx="0">
                  <c:v>0.93617021276595747</c:v>
                </c:pt>
                <c:pt idx="1">
                  <c:v>0.78522336769759449</c:v>
                </c:pt>
                <c:pt idx="2">
                  <c:v>0.65816326530612246</c:v>
                </c:pt>
                <c:pt idx="3">
                  <c:v>0.65816326530612246</c:v>
                </c:pt>
                <c:pt idx="4">
                  <c:v>0.48831168831168831</c:v>
                </c:pt>
                <c:pt idx="5">
                  <c:v>0.48831168831168831</c:v>
                </c:pt>
                <c:pt idx="6">
                  <c:v>0.48831168831168831</c:v>
                </c:pt>
                <c:pt idx="7">
                  <c:v>0.48831168831168831</c:v>
                </c:pt>
                <c:pt idx="8">
                  <c:v>0.34600000000000003</c:v>
                </c:pt>
                <c:pt idx="9">
                  <c:v>0.20399999999999999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F917-4462-B480-8A7B87F8AD14}"/>
            </c:ext>
          </c:extLst>
        </c:ser>
        <c:ser>
          <c:idx val="4"/>
          <c:order val="4"/>
          <c:tx>
            <c:strRef>
              <c:f>Metrics!$A$52</c:f>
              <c:strCache>
                <c:ptCount val="1"/>
                <c:pt idx="0">
                  <c:v>Failed%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Metrics!$B$47:$M$47</c:f>
              <c:numCache>
                <c:formatCode>m/d/yyyy</c:formatCode>
                <c:ptCount val="12"/>
                <c:pt idx="0">
                  <c:v>46055</c:v>
                </c:pt>
                <c:pt idx="1">
                  <c:v>46056</c:v>
                </c:pt>
                <c:pt idx="2">
                  <c:v>46057</c:v>
                </c:pt>
                <c:pt idx="3">
                  <c:v>46058</c:v>
                </c:pt>
                <c:pt idx="4">
                  <c:v>46059</c:v>
                </c:pt>
                <c:pt idx="5">
                  <c:v>46060</c:v>
                </c:pt>
                <c:pt idx="6">
                  <c:v>46061</c:v>
                </c:pt>
                <c:pt idx="7">
                  <c:v>46062</c:v>
                </c:pt>
                <c:pt idx="8">
                  <c:v>46063</c:v>
                </c:pt>
                <c:pt idx="9">
                  <c:v>46064</c:v>
                </c:pt>
                <c:pt idx="10">
                  <c:v>46065</c:v>
                </c:pt>
                <c:pt idx="11">
                  <c:v>46066</c:v>
                </c:pt>
              </c:numCache>
            </c:numRef>
          </c:cat>
          <c:val>
            <c:numRef>
              <c:f>Metrics!$B$52:$M$52</c:f>
              <c:numCache>
                <c:formatCode>0.0%</c:formatCode>
                <c:ptCount val="12"/>
                <c:pt idx="0">
                  <c:v>2E-3</c:v>
                </c:pt>
                <c:pt idx="1">
                  <c:v>6.7000000000000004E-2</c:v>
                </c:pt>
                <c:pt idx="2">
                  <c:v>8.4000000000000005E-2</c:v>
                </c:pt>
                <c:pt idx="3">
                  <c:v>8.4000000000000005E-2</c:v>
                </c:pt>
                <c:pt idx="4">
                  <c:v>7.1999999999999995E-2</c:v>
                </c:pt>
                <c:pt idx="5">
                  <c:v>7.1999999999999995E-2</c:v>
                </c:pt>
                <c:pt idx="6">
                  <c:v>7.1999999999999995E-2</c:v>
                </c:pt>
                <c:pt idx="7">
                  <c:v>7.1999999999999995E-2</c:v>
                </c:pt>
                <c:pt idx="8">
                  <c:v>7.1999999999999995E-2</c:v>
                </c:pt>
                <c:pt idx="9">
                  <c:v>7.1999999999999995E-2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917-4462-B480-8A7B87F8AD14}"/>
            </c:ext>
          </c:extLst>
        </c:ser>
        <c:ser>
          <c:idx val="2"/>
          <c:order val="5"/>
          <c:tx>
            <c:strRef>
              <c:f>Metrics!$A$53</c:f>
              <c:strCache>
                <c:ptCount val="1"/>
                <c:pt idx="0">
                  <c:v>Blocked%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numRef>
              <c:f>Metrics!$B$47:$M$47</c:f>
              <c:numCache>
                <c:formatCode>m/d/yyyy</c:formatCode>
                <c:ptCount val="12"/>
                <c:pt idx="0">
                  <c:v>46055</c:v>
                </c:pt>
                <c:pt idx="1">
                  <c:v>46056</c:v>
                </c:pt>
                <c:pt idx="2">
                  <c:v>46057</c:v>
                </c:pt>
                <c:pt idx="3">
                  <c:v>46058</c:v>
                </c:pt>
                <c:pt idx="4">
                  <c:v>46059</c:v>
                </c:pt>
                <c:pt idx="5">
                  <c:v>46060</c:v>
                </c:pt>
                <c:pt idx="6">
                  <c:v>46061</c:v>
                </c:pt>
                <c:pt idx="7">
                  <c:v>46062</c:v>
                </c:pt>
                <c:pt idx="8">
                  <c:v>46063</c:v>
                </c:pt>
                <c:pt idx="9">
                  <c:v>46064</c:v>
                </c:pt>
                <c:pt idx="10">
                  <c:v>46065</c:v>
                </c:pt>
                <c:pt idx="11">
                  <c:v>46066</c:v>
                </c:pt>
              </c:numCache>
            </c:numRef>
          </c:cat>
          <c:val>
            <c:numRef>
              <c:f>Metrics!$B$53:$M$53</c:f>
              <c:numCache>
                <c:formatCode>0.0%</c:formatCode>
                <c:ptCount val="12"/>
                <c:pt idx="0">
                  <c:v>0</c:v>
                </c:pt>
                <c:pt idx="1">
                  <c:v>8.5910652920962206E-3</c:v>
                </c:pt>
                <c:pt idx="2">
                  <c:v>3.0612244897959183E-2</c:v>
                </c:pt>
                <c:pt idx="3">
                  <c:v>3.0612244897959183E-2</c:v>
                </c:pt>
                <c:pt idx="4">
                  <c:v>6.0000000000000001E-3</c:v>
                </c:pt>
                <c:pt idx="5">
                  <c:v>6.0000000000000001E-3</c:v>
                </c:pt>
                <c:pt idx="6">
                  <c:v>6.0000000000000001E-3</c:v>
                </c:pt>
                <c:pt idx="7">
                  <c:v>6.0000000000000001E-3</c:v>
                </c:pt>
                <c:pt idx="8">
                  <c:v>1.2999999999999999E-2</c:v>
                </c:pt>
                <c:pt idx="9">
                  <c:v>1.2999999999999999E-2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917-4462-B480-8A7B87F8AD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27051783"/>
        <c:axId val="526636039"/>
      </c:barChart>
      <c:lineChart>
        <c:grouping val="standard"/>
        <c:varyColors val="0"/>
        <c:ser>
          <c:idx val="6"/>
          <c:order val="0"/>
          <c:tx>
            <c:strRef>
              <c:f>Metrics!$A$50</c:f>
              <c:strCache>
                <c:ptCount val="1"/>
                <c:pt idx="0">
                  <c:v>Target %</c:v>
                </c:pt>
              </c:strCache>
            </c:strRef>
          </c:tx>
          <c:spPr>
            <a:ln w="38100" cap="rnd">
              <a:solidFill>
                <a:srgbClr val="5B9BD5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solidFill>
                <a:srgbClr val="5B9BD5"/>
              </a:solidFill>
              <a:ln w="25400">
                <a:noFill/>
              </a:ln>
              <a:effectLst/>
            </c:spPr>
          </c:marker>
          <c:cat>
            <c:numRef>
              <c:f>Metrics!$B$47:$M$47</c:f>
              <c:numCache>
                <c:formatCode>m/d/yyyy</c:formatCode>
                <c:ptCount val="12"/>
                <c:pt idx="0">
                  <c:v>46055</c:v>
                </c:pt>
                <c:pt idx="1">
                  <c:v>46056</c:v>
                </c:pt>
                <c:pt idx="2">
                  <c:v>46057</c:v>
                </c:pt>
                <c:pt idx="3">
                  <c:v>46058</c:v>
                </c:pt>
                <c:pt idx="4">
                  <c:v>46059</c:v>
                </c:pt>
                <c:pt idx="5">
                  <c:v>46060</c:v>
                </c:pt>
                <c:pt idx="6">
                  <c:v>46061</c:v>
                </c:pt>
                <c:pt idx="7">
                  <c:v>46062</c:v>
                </c:pt>
                <c:pt idx="8">
                  <c:v>46063</c:v>
                </c:pt>
                <c:pt idx="9">
                  <c:v>46064</c:v>
                </c:pt>
                <c:pt idx="10">
                  <c:v>46065</c:v>
                </c:pt>
                <c:pt idx="11">
                  <c:v>46066</c:v>
                </c:pt>
              </c:numCache>
            </c:numRef>
          </c:cat>
          <c:val>
            <c:numRef>
              <c:f>Metrics!$B$50:$M$50</c:f>
              <c:numCache>
                <c:formatCode>0%</c:formatCode>
                <c:ptCount val="12"/>
                <c:pt idx="0">
                  <c:v>0.14814814814814814</c:v>
                </c:pt>
                <c:pt idx="1">
                  <c:v>0.29629629629629628</c:v>
                </c:pt>
                <c:pt idx="2">
                  <c:v>0.44444444444444442</c:v>
                </c:pt>
                <c:pt idx="3">
                  <c:v>0.55555555555555558</c:v>
                </c:pt>
                <c:pt idx="4">
                  <c:v>0.55555555555555558</c:v>
                </c:pt>
                <c:pt idx="5">
                  <c:v>0.55555555555555558</c:v>
                </c:pt>
                <c:pt idx="6">
                  <c:v>0.55555555555555558</c:v>
                </c:pt>
                <c:pt idx="7">
                  <c:v>0.55555555555555558</c:v>
                </c:pt>
                <c:pt idx="8">
                  <c:v>0.66666666666666663</c:v>
                </c:pt>
                <c:pt idx="9">
                  <c:v>0.77777777777777779</c:v>
                </c:pt>
                <c:pt idx="10">
                  <c:v>0.88888888888888884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17-4462-B480-8A7B87F8AD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7051783"/>
        <c:axId val="526636039"/>
      </c:lineChart>
      <c:dateAx>
        <c:axId val="527051783"/>
        <c:scaling>
          <c:orientation val="minMax"/>
        </c:scaling>
        <c:delete val="0"/>
        <c:axPos val="b"/>
        <c:numFmt formatCode="m/d/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26636039"/>
        <c:crosses val="autoZero"/>
        <c:auto val="1"/>
        <c:lblOffset val="100"/>
        <c:baseTimeUnit val="days"/>
      </c:dateAx>
      <c:valAx>
        <c:axId val="526636039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27051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928686</xdr:colOff>
      <xdr:row>6</xdr:row>
      <xdr:rowOff>9524</xdr:rowOff>
    </xdr:from>
    <xdr:to>
      <xdr:col>6</xdr:col>
      <xdr:colOff>428623</xdr:colOff>
      <xdr:row>23</xdr:row>
      <xdr:rowOff>154782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016C19-447A-505C-2939-C5168C1CE9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238125</xdr:colOff>
      <xdr:row>1</xdr:row>
      <xdr:rowOff>47626</xdr:rowOff>
    </xdr:from>
    <xdr:to>
      <xdr:col>27</xdr:col>
      <xdr:colOff>104775</xdr:colOff>
      <xdr:row>25</xdr:row>
      <xdr:rowOff>42863</xdr:rowOff>
    </xdr:to>
    <xdr:graphicFrame macro="">
      <xdr:nvGraphicFramePr>
        <xdr:cNvPr id="4" name="Graphique 1" descr="Type de graphique : Courbes. « Target % » par « Item »&#10;&#10;Description générée automatiquement">
          <a:extLst>
            <a:ext uri="{FF2B5EF4-FFF2-40B4-BE49-F238E27FC236}">
              <a16:creationId xmlns:a16="http://schemas.microsoft.com/office/drawing/2014/main" id="{286BC7BE-C9E8-47A0-A906-BC079BB450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7A27ADA-9F4B-4570-B89B-7EBCF78FCB5F}" name="Table6" displayName="Table6" ref="B3:F5" totalsRowCount="1" totalsRowDxfId="8" totalsRowCellStyle="Percent">
  <autoFilter ref="B3:F4" xr:uid="{17A27ADA-9F4B-4570-B89B-7EBCF78FCB5F}"/>
  <tableColumns count="5">
    <tableColumn id="1" xr3:uid="{680E3648-EC9C-4486-82ED-6F8698CB0102}" name="Not Started" totalsRowFunction="custom" totalsRowDxfId="7" totalsRowCellStyle="Percent">
      <calculatedColumnFormula xml:space="preserve"> COUNTIF(Test_Cases!L:L, "Not Started")</calculatedColumnFormula>
      <totalsRowFormula>Table6[Not Started]/G4</totalsRowFormula>
    </tableColumn>
    <tableColumn id="2" xr3:uid="{09A40617-6611-4536-9629-89FA9217E3FE}" name="In Progress" totalsRowFunction="custom" totalsRowDxfId="6" totalsRowCellStyle="Percent">
      <calculatedColumnFormula xml:space="preserve"> COUNTIF(Test_Cases!L:L, "In Progress")</calculatedColumnFormula>
      <totalsRowFormula>Table6[In Progress]/G4</totalsRowFormula>
    </tableColumn>
    <tableColumn id="3" xr3:uid="{5CDE109A-59FD-43BB-9942-F5F9416F6D44}" name="Passed" totalsRowFunction="custom" totalsRowDxfId="5" totalsRowCellStyle="Percent">
      <calculatedColumnFormula xml:space="preserve"> COUNTIF(Test_Cases!L:L, "Passed")</calculatedColumnFormula>
      <totalsRowFormula>Table6[Passed]/G4</totalsRowFormula>
    </tableColumn>
    <tableColumn id="4" xr3:uid="{7473BA4A-7397-4929-8407-30104F3D361A}" name="Failed" totalsRowFunction="custom" totalsRowDxfId="4" totalsRowCellStyle="Percent">
      <calculatedColumnFormula xml:space="preserve"> COUNTIF(Test_Cases!L:L, "Failed")</calculatedColumnFormula>
      <totalsRowFormula>Table6[Failed]/G4</totalsRowFormula>
    </tableColumn>
    <tableColumn id="5" xr3:uid="{E01F9A7B-5DD3-451B-B2EF-CA4D1762EB89}" name="Blocked" totalsRowFunction="custom" totalsRowDxfId="3" totalsRowCellStyle="Percent">
      <calculatedColumnFormula xml:space="preserve"> COUNTIF(Test_Cases!L:L, "Blocked")</calculatedColumnFormula>
      <totalsRowFormula>Table6[Blocked]/G4</totalsRow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71E31FE-6E4C-4281-B5D1-137C8AF3816E}" name="Table4" displayName="Table4" ref="A1:G26" totalsRowShown="0">
  <autoFilter ref="A1:G26" xr:uid="{471E31FE-6E4C-4281-B5D1-137C8AF3816E}"/>
  <tableColumns count="7">
    <tableColumn id="1" xr3:uid="{FA613F9D-3907-42C0-977A-7906F5382511}" name="US_ID"/>
    <tableColumn id="2" xr3:uid="{8B093338-537F-4BCE-A419-5E2F97934FF5}" name="User Story"/>
    <tableColumn id="3" xr3:uid="{B7324465-D76C-4D77-A5AC-AA9139953048}" name="Scenario_ID"/>
    <tableColumn id="4" xr3:uid="{EDAE234E-48CC-4D1F-9456-F727D93CE4C9}" name="TC_ID"/>
    <tableColumn id="5" xr3:uid="{92992473-B0D4-4E30-A493-8DAB3232CEF5}" name="Coverage Type"/>
    <tableColumn id="6" xr3:uid="{4C9ECB6A-CBB1-4D03-BD1B-2DB574389040}" name="Priority"/>
    <tableColumn id="7" xr3:uid="{24E5F84C-AE12-46C9-9D29-74DF2DA12103}" name="Automation Candida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0BF17AB-92C9-4424-91A4-B8C632AE4A8F}" name="Table1" displayName="Table1" ref="A1:P28" totalsRowShown="0" headerRowDxfId="45" dataDxfId="44">
  <autoFilter ref="A1:P28" xr:uid="{60BF17AB-92C9-4424-91A4-B8C632AE4A8F}"/>
  <tableColumns count="16">
    <tableColumn id="1" xr3:uid="{70E7FC72-2B94-4095-B589-FD7EEDADA482}" name="TC_ID" dataDxfId="43"/>
    <tableColumn id="2" xr3:uid="{1755BD3D-DC03-4163-89A9-162DE2B3770C}" name="Feature" dataDxfId="42"/>
    <tableColumn id="3" xr3:uid="{7AF03489-C780-4276-A52C-BDF8DFD76C9F}" name="Scenario_ID" dataDxfId="41"/>
    <tableColumn id="4" xr3:uid="{48FAEC4C-5B3C-4D4E-8AE0-C39DBDDF6BE3}" name="Test Case Title" dataDxfId="40"/>
    <tableColumn id="5" xr3:uid="{D110F2B7-DB0A-49D5-976A-BD537630DCF0}" name="Priority" dataDxfId="39"/>
    <tableColumn id="6" xr3:uid="{8489B1F9-E125-4361-B792-6743609018C8}" name="Preconditions" dataDxfId="38"/>
    <tableColumn id="7" xr3:uid="{19825A25-9210-4BF2-B18A-7329EDD28CB1}" name="Test Data" dataDxfId="37"/>
    <tableColumn id="8" xr3:uid="{87692A4B-4CDA-438A-9C49-AB3C27FC0D05}" name="Steps" dataDxfId="36"/>
    <tableColumn id="9" xr3:uid="{E43DF14F-4C89-4C38-BC7B-5FAA0EB05EAB}" name="Expected Result" dataDxfId="35"/>
    <tableColumn id="10" xr3:uid="{D140EB97-BC8A-4E7A-90FB-6498F3C2A973}" name="Execution Type" dataDxfId="34"/>
    <tableColumn id="11" xr3:uid="{51F608C5-3082-4103-88B4-EF3A990BA23C}" name="Automation Candidate" dataDxfId="33"/>
    <tableColumn id="12" xr3:uid="{01407860-668D-4B00-B956-E822B09C94A1}" name="Status" dataDxfId="32"/>
    <tableColumn id="15" xr3:uid="{EB504D96-9132-4B86-956C-61DCBEBD8252}" name="Executed On" dataDxfId="31"/>
    <tableColumn id="16" xr3:uid="{435E9679-3F75-4A9C-8920-BDF52CE9995E}" name="Executed By" dataDxfId="30"/>
    <tableColumn id="17" xr3:uid="{430A00E7-DF8B-4CE6-868B-C20EFED6467B}" name="Defect ID" dataDxfId="29"/>
    <tableColumn id="13" xr3:uid="{F6C48C40-842E-4505-97D6-72075CEACBCF}" name="Notes" dataDxfId="2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8716A09-1943-43BF-8285-9B44409C480F}" name="Table2" displayName="Table2" ref="A1:I14" totalsRowShown="0">
  <autoFilter ref="A1:I14" xr:uid="{D8716A09-1943-43BF-8285-9B44409C480F}"/>
  <tableColumns count="9">
    <tableColumn id="1" xr3:uid="{BD3F5983-4D9B-4CD4-BCB3-C37FE084B9E3}" name="Suite"/>
    <tableColumn id="2" xr3:uid="{4B2969FB-6D3B-46AB-AE1F-E840802508C6}" name="TC_ID"/>
    <tableColumn id="3" xr3:uid="{2ECF9690-EFAE-4800-8032-9E7CDF24E6CE}" name="Feature"/>
    <tableColumn id="4" xr3:uid="{C5B2E2B0-1892-46E6-BFC7-5AD42A35D8C0}" name="Scenario_ID"/>
    <tableColumn id="5" xr3:uid="{A55F9CD3-221D-411A-8A3B-1AA9CE6BDCC5}" name="Test Case Title"/>
    <tableColumn id="6" xr3:uid="{CEAB9B51-87F1-4270-A129-08444A715123}" name="Priority"/>
    <tableColumn id="7" xr3:uid="{237CF917-43AC-4041-979B-3969C28B967E}" name="Execution Type"/>
    <tableColumn id="8" xr3:uid="{ED82A1D2-26B0-48D2-86CA-350329AFA335}" name="Automation Candidate"/>
    <tableColumn id="9" xr3:uid="{B5D7EA67-051F-461A-8B46-887BA3FDFE15}" name="Column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237D862-DD03-4B2E-B766-5C5AA86FDA2B}" name="Table3" displayName="Table3" ref="A1:I27" totalsRowShown="0">
  <autoFilter ref="A1:I27" xr:uid="{F237D862-DD03-4B2E-B766-5C5AA86FDA2B}"/>
  <tableColumns count="9">
    <tableColumn id="1" xr3:uid="{997DE6CB-FC6C-4A06-AD9C-31AD2D539EBE}" name="Suite"/>
    <tableColumn id="2" xr3:uid="{E2929E89-267D-48C5-BC58-2F88B0EDBD11}" name="TC_ID"/>
    <tableColumn id="3" xr3:uid="{CD958186-49D5-42AE-9E4E-D8C6B56DD9FE}" name="Feature"/>
    <tableColumn id="4" xr3:uid="{F607C61C-EEE9-41BA-A4E0-FB837724B481}" name="Scenario_ID"/>
    <tableColumn id="5" xr3:uid="{DCC2E593-EDA0-4D26-86AB-6060667D95AC}" name="Test Case Title"/>
    <tableColumn id="6" xr3:uid="{4449A73D-6721-4866-B4D1-0B67E5D431EF}" name="Priority"/>
    <tableColumn id="7" xr3:uid="{0C3F6ECD-66A0-4C01-BC43-92913003C5C3}" name="Execution Type"/>
    <tableColumn id="8" xr3:uid="{D3725148-565B-49EF-9C0C-80DBE485ADDC}" name="Automation Candidate"/>
    <tableColumn id="9" xr3:uid="{7DE2BEC8-B076-4606-895A-18C602536D9C}" name="Column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6205429-782E-4B95-821E-A4E4E4DA9EAC}" name="tblDefects" displayName="tblDefects" ref="A1:P3" headerRowDxfId="27" dataDxfId="26" totalsRowDxfId="25">
  <autoFilter ref="A1:P3" xr:uid="{16205429-782E-4B95-821E-A4E4E4DA9EAC}"/>
  <tableColumns count="16">
    <tableColumn id="1" xr3:uid="{2A03D3B9-16D0-431F-86C7-59FFB8345E3C}" name="Bug ID" dataDxfId="24"/>
    <tableColumn id="2" xr3:uid="{223F2C82-D20E-4706-994C-760A0776ADFB}" name="Summary" dataDxfId="23"/>
    <tableColumn id="3" xr3:uid="{8697FFCF-037D-4007-95A0-C3438BAB0AF1}" name="Feature" dataDxfId="22"/>
    <tableColumn id="4" xr3:uid="{9CC38287-94BC-472E-B8E8-C8F44235DCBF}" name="Severity" dataDxfId="21"/>
    <tableColumn id="5" xr3:uid="{D2B8399C-E03F-4CCD-B5D3-B0ACDA875653}" name="Priority" dataDxfId="20"/>
    <tableColumn id="6" xr3:uid="{27D3F052-E3EC-4B7C-BB84-B9CE6D64FA7E}" name="Status" dataDxfId="19"/>
    <tableColumn id="7" xr3:uid="{5B7F4C8E-D5A0-42A2-BDD4-D17F2C4AC688}" name="Detected In Build" dataDxfId="18"/>
    <tableColumn id="15" xr3:uid="{1E6527C3-A25A-4295-B136-C25574F008D8}" name="Fix Version" dataDxfId="17"/>
    <tableColumn id="8" xr3:uid="{12A7D37F-2087-4422-BA26-DD0515A95902}" name="Reported By" dataDxfId="16"/>
    <tableColumn id="9" xr3:uid="{2ED68D75-A096-4A98-AEA3-91C60E6F903D}" name="Assigned To" dataDxfId="15"/>
    <tableColumn id="10" xr3:uid="{89E2EAC8-4666-4A03-9123-49BF70C506CB}" name="Created On" dataDxfId="14"/>
    <tableColumn id="11" xr3:uid="{A717E9D7-7947-4D1B-8679-0B10348597FB}" name="Closed On" dataDxfId="13"/>
    <tableColumn id="12" xr3:uid="{C2902D5F-EABB-4DF5-B33E-7052ABDAF44A}" name="Reopened?" dataDxfId="12"/>
    <tableColumn id="13" xr3:uid="{A67CEEE6-9D7C-42FD-9C1A-764B44F90CAF}" name="Reopen Count" dataDxfId="11"/>
    <tableColumn id="14" xr3:uid="{41B70439-2691-4F57-8511-F60953EFA70A}" name="Ageing (days)" dataDxfId="10">
      <calculatedColumnFormula>IF(L2&lt;&gt;"",L2-K2,TODAY()-K2)</calculatedColumnFormula>
    </tableColumn>
    <tableColumn id="16" xr3:uid="{6BE911E0-B36F-4267-A2AD-A88D8520CF3F}" name="Comments" dataDxfId="9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CE5A0-5595-46D9-ACFC-4E7B94D1B469}">
  <sheetPr>
    <tabColor rgb="FF002060"/>
  </sheetPr>
  <dimension ref="A2:AQ73"/>
  <sheetViews>
    <sheetView tabSelected="1" zoomScale="85" zoomScaleNormal="85" workbookViewId="0">
      <selection activeCell="L53" sqref="L53"/>
    </sheetView>
  </sheetViews>
  <sheetFormatPr defaultRowHeight="15" x14ac:dyDescent="0.25"/>
  <cols>
    <col min="1" max="1" width="14.140625" style="37" customWidth="1"/>
    <col min="2" max="2" width="13.28515625" style="37" customWidth="1"/>
    <col min="3" max="3" width="12.85546875" style="37" customWidth="1"/>
    <col min="4" max="4" width="11.85546875" style="37" customWidth="1"/>
    <col min="5" max="5" width="11.7109375" style="37" customWidth="1"/>
    <col min="6" max="6" width="13" style="37" customWidth="1"/>
    <col min="7" max="13" width="11.5703125" style="37" bestFit="1" customWidth="1"/>
    <col min="14" max="14" width="9.140625" style="37" customWidth="1"/>
    <col min="15" max="16384" width="9.140625" style="37"/>
  </cols>
  <sheetData>
    <row r="2" spans="2:7" x14ac:dyDescent="0.25">
      <c r="B2" s="48" t="s">
        <v>279</v>
      </c>
      <c r="C2" s="49"/>
      <c r="D2" s="49"/>
      <c r="E2" s="49"/>
      <c r="F2" s="49"/>
    </row>
    <row r="3" spans="2:7" ht="15.75" thickBot="1" x14ac:dyDescent="0.3">
      <c r="B3" t="s">
        <v>278</v>
      </c>
      <c r="C3" t="s">
        <v>266</v>
      </c>
      <c r="D3" t="s">
        <v>244</v>
      </c>
      <c r="E3" t="s">
        <v>245</v>
      </c>
      <c r="F3" t="s">
        <v>249</v>
      </c>
      <c r="G3" s="3" t="s">
        <v>289</v>
      </c>
    </row>
    <row r="4" spans="2:7" ht="15.75" thickTop="1" x14ac:dyDescent="0.25">
      <c r="B4">
        <f xml:space="preserve"> COUNTIF(Test_Cases!L:L, "Not Started")</f>
        <v>0</v>
      </c>
      <c r="C4">
        <f xml:space="preserve"> COUNTIF(Test_Cases!L:L, "In Progress")</f>
        <v>0</v>
      </c>
      <c r="D4">
        <f xml:space="preserve"> COUNTIF(Test_Cases!L:L, "Passed")</f>
        <v>25</v>
      </c>
      <c r="E4">
        <f xml:space="preserve"> COUNTIF(Test_Cases!L:L, "Failed")</f>
        <v>1</v>
      </c>
      <c r="F4">
        <f xml:space="preserve"> COUNTIF(Test_Cases!L:L, "Blocked")</f>
        <v>1</v>
      </c>
      <c r="G4" s="4">
        <f>SUM(Table6[[#This Row],[Not Started]:[Blocked]])</f>
        <v>27</v>
      </c>
    </row>
    <row r="5" spans="2:7" x14ac:dyDescent="0.25">
      <c r="B5" s="39">
        <f>Table6[Not Started]/G4</f>
        <v>0</v>
      </c>
      <c r="C5" s="39">
        <f>Table6[In Progress]/G4</f>
        <v>0</v>
      </c>
      <c r="D5" s="39">
        <f>Table6[Passed]/G4</f>
        <v>0.92592592592592593</v>
      </c>
      <c r="E5" s="39">
        <f>Table6[Failed]/G4</f>
        <v>3.7037037037037035E-2</v>
      </c>
      <c r="F5" s="39">
        <f>Table6[Blocked]/G4</f>
        <v>3.7037037037037035E-2</v>
      </c>
      <c r="G5" s="38"/>
    </row>
    <row r="22" spans="15:15" x14ac:dyDescent="0.25">
      <c r="O22" s="41"/>
    </row>
    <row r="27" spans="15:15" hidden="1" x14ac:dyDescent="0.25"/>
    <row r="28" spans="15:15" hidden="1" x14ac:dyDescent="0.25"/>
    <row r="29" spans="15:15" hidden="1" x14ac:dyDescent="0.25"/>
    <row r="30" spans="15:15" hidden="1" x14ac:dyDescent="0.25"/>
    <row r="31" spans="15:15" hidden="1" x14ac:dyDescent="0.25"/>
    <row r="32" spans="15:15" hidden="1" x14ac:dyDescent="0.25"/>
    <row r="33" spans="1:43" hidden="1" x14ac:dyDescent="0.25"/>
    <row r="34" spans="1:43" hidden="1" x14ac:dyDescent="0.25"/>
    <row r="35" spans="1:43" hidden="1" x14ac:dyDescent="0.25"/>
    <row r="36" spans="1:43" hidden="1" x14ac:dyDescent="0.25"/>
    <row r="37" spans="1:43" hidden="1" x14ac:dyDescent="0.25"/>
    <row r="38" spans="1:43" hidden="1" x14ac:dyDescent="0.25"/>
    <row r="39" spans="1:43" hidden="1" x14ac:dyDescent="0.25"/>
    <row r="40" spans="1:43" hidden="1" x14ac:dyDescent="0.25"/>
    <row r="41" spans="1:43" hidden="1" x14ac:dyDescent="0.25"/>
    <row r="42" spans="1:43" hidden="1" x14ac:dyDescent="0.25"/>
    <row r="43" spans="1:43" hidden="1" x14ac:dyDescent="0.25"/>
    <row r="44" spans="1:43" hidden="1" x14ac:dyDescent="0.25"/>
    <row r="45" spans="1:43" hidden="1" x14ac:dyDescent="0.25"/>
    <row r="47" spans="1:43" s="5" customFormat="1" ht="15" customHeight="1" x14ac:dyDescent="0.25">
      <c r="A47" s="42" t="s">
        <v>280</v>
      </c>
      <c r="B47" s="43">
        <v>46055</v>
      </c>
      <c r="C47" s="43">
        <v>46056</v>
      </c>
      <c r="D47" s="43">
        <v>46057</v>
      </c>
      <c r="E47" s="43">
        <v>46058</v>
      </c>
      <c r="F47" s="43">
        <v>46059</v>
      </c>
      <c r="G47" s="43">
        <v>46060</v>
      </c>
      <c r="H47" s="43">
        <v>46061</v>
      </c>
      <c r="I47" s="43">
        <v>46062</v>
      </c>
      <c r="J47" s="43">
        <v>46063</v>
      </c>
      <c r="K47" s="43">
        <v>46064</v>
      </c>
      <c r="L47" s="43">
        <v>46065</v>
      </c>
      <c r="M47" s="43">
        <v>46066</v>
      </c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4"/>
      <c r="AH47" s="44"/>
      <c r="AI47" s="44"/>
      <c r="AJ47" s="44"/>
      <c r="AK47" s="44"/>
      <c r="AL47" s="44"/>
      <c r="AM47" s="44"/>
      <c r="AN47" s="44"/>
      <c r="AO47" s="45"/>
      <c r="AP47" s="45"/>
      <c r="AQ47" s="45"/>
    </row>
    <row r="48" spans="1:43" s="5" customFormat="1" ht="15" customHeight="1" x14ac:dyDescent="0.25">
      <c r="A48" s="6" t="s">
        <v>281</v>
      </c>
      <c r="B48" s="7">
        <f ca="1">IF( AND( ISNUMBER(B47), WEEKDAY(B47,2)&lt;6, ISERROR(MATCH(B47,datesJF,0))), SUM(INT(G4/B57),IF(RANK(B47,A62:A73,1)&lt;=MOD(G4,B57),1,0)),"")</f>
        <v>4</v>
      </c>
      <c r="C48" s="7">
        <f ca="1">IF( AND( ISNUMBER(C47), WEEKDAY(C47,2)&lt;6, ISERROR(MATCH(C47,datesJF,0))), SUM(INT(G4/B57),IF(RANK(C47,A62:A73,1)&lt;=MOD(G4,B57),1,0)),"")</f>
        <v>4</v>
      </c>
      <c r="D48" s="8">
        <f ca="1">IF( AND( ISNUMBER(D47), WEEKDAY(D47,2)&lt;6, ISERROR(MATCH(D47,datesJF,0))), SUM(INT(G4/B57),IF(RANK(D47,A62:A73,1)&lt;=MOD(G4,B57),1,0)),"")</f>
        <v>4</v>
      </c>
      <c r="E48" s="8">
        <f ca="1">IF( AND( ISNUMBER(E47), WEEKDAY(E47,2)&lt;6, ISERROR(MATCH(E47,datesJF,0))), SUM(INT(G4/B57),IF(RANK(E47,A62:A73,1)&lt;=MOD(G4,B57),1,0)),"")</f>
        <v>3</v>
      </c>
      <c r="F48" s="40" t="str">
        <f ca="1">IF( AND( ISNUMBER(F47), WEEKDAY(F47,2)&lt;6, ISERROR(MATCH(F47,datesJF,0))), SUM(INT(G4/B57),IF(RANK(F47,A62:A73,1)&lt;=MOD(G4,B57),1,0)),"")</f>
        <v/>
      </c>
      <c r="G48" s="9" t="str">
        <f ca="1">IF( AND( ISNUMBER(G47), WEEKDAY(G47,2)&lt;6, ISERROR(MATCH(G47,datesJF,0))), SUM(INT(G4/B57),IF(RANK(G47,A62:A73,1)&lt;=MOD(G4,B57),1,0)),"")</f>
        <v/>
      </c>
      <c r="H48" s="9" t="str">
        <f ca="1">IF( AND( ISNUMBER(H47), WEEKDAY(H47,2)&lt;6, ISERROR(MATCH(H47,datesJF,0))), SUM(INT(G4/B57),IF(RANK(H47,A62:A73,1)&lt;=MOD(G4,B57),1,0)),"")</f>
        <v/>
      </c>
      <c r="I48" s="40" t="str">
        <f ca="1">IF( AND( ISNUMBER(I47), WEEKDAY(I47,2)&lt;6, ISERROR(MATCH(I47,datesJF,0))), SUM(INT(G4/B57),IF(RANK(I47,A62:A73,1)&lt;=MOD(G4,B57),1,0)),"")</f>
        <v/>
      </c>
      <c r="J48" s="8">
        <f ca="1">IF( AND( ISNUMBER(J47), WEEKDAY(J47,2)&lt;6, ISERROR(MATCH(J47,datesJF,0))), SUM(INT(G4/B57),IF(RANK(J47,A62:A73,1)&lt;=MOD(G4,B57),1,0)),"")</f>
        <v>3</v>
      </c>
      <c r="K48" s="8">
        <f ca="1">IF( AND( ISNUMBER(K47), WEEKDAY(K47,2)&lt;6, ISERROR(MATCH(K47,datesJF,0))), SUM(INT(G4/B57),IF(RANK(K47,A62:A73,1)&lt;=MOD(G4,B57),1,0)),"")</f>
        <v>3</v>
      </c>
      <c r="L48" s="8">
        <f ca="1">IF( AND( ISNUMBER(L47), WEEKDAY(L47,2)&lt;6, ISERROR(MATCH(L47,datesJF,0))), SUM(INT(G4/B57),IF(RANK(L47,A62:A73,1)&lt;=MOD(G4,B57),1,0)),"")</f>
        <v>3</v>
      </c>
      <c r="M48" s="8">
        <f ca="1">IF( AND( ISNUMBER(M47), WEEKDAY(M47,2)&lt;6, ISERROR(MATCH(M47,datesJF,0))), SUM(INT(G4/B57),IF(RANK(M47,A62:A73,1)&lt;=MOD(G4,B57),1,0)),"")</f>
        <v>3</v>
      </c>
      <c r="N48" s="9"/>
      <c r="O48" s="9"/>
      <c r="P48" s="10"/>
      <c r="Q48" s="10"/>
      <c r="R48" s="10"/>
      <c r="S48" s="10"/>
      <c r="T48" s="10"/>
      <c r="U48" s="11"/>
      <c r="V48" s="11"/>
      <c r="W48" s="10"/>
      <c r="X48" s="10"/>
      <c r="Y48" s="10"/>
      <c r="Z48" s="10"/>
      <c r="AA48" s="10"/>
      <c r="AB48" s="11"/>
      <c r="AC48" s="11"/>
      <c r="AD48" s="10"/>
      <c r="AE48" s="10"/>
      <c r="AF48" s="10"/>
      <c r="AG48" s="10"/>
      <c r="AH48" s="10"/>
      <c r="AI48" s="11"/>
      <c r="AJ48" s="11"/>
      <c r="AK48" s="10"/>
      <c r="AL48" s="10"/>
      <c r="AM48" s="12"/>
      <c r="AN48" s="10"/>
      <c r="AO48" s="13"/>
      <c r="AP48" s="14"/>
      <c r="AQ48" s="14"/>
    </row>
    <row r="49" spans="1:43" s="5" customFormat="1" ht="15" customHeight="1" x14ac:dyDescent="0.25">
      <c r="A49" s="6" t="s">
        <v>282</v>
      </c>
      <c r="B49" s="7">
        <f ca="1">SUM($B48:B48)</f>
        <v>4</v>
      </c>
      <c r="C49" s="7">
        <f ca="1">SUM($B48:C48)</f>
        <v>8</v>
      </c>
      <c r="D49" s="8">
        <f ca="1">SUM($B48:D48)</f>
        <v>12</v>
      </c>
      <c r="E49" s="8">
        <f ca="1">SUM($B48:E48)</f>
        <v>15</v>
      </c>
      <c r="F49" s="40">
        <f ca="1">SUM($B48:F48)</f>
        <v>15</v>
      </c>
      <c r="G49" s="9">
        <f ca="1">SUM($B48:G48)</f>
        <v>15</v>
      </c>
      <c r="H49" s="9">
        <f ca="1">SUM($B48:H48)</f>
        <v>15</v>
      </c>
      <c r="I49" s="40">
        <f ca="1">SUM($B48:I48)</f>
        <v>15</v>
      </c>
      <c r="J49" s="8">
        <f ca="1">SUM($B48:J48)</f>
        <v>18</v>
      </c>
      <c r="K49" s="8">
        <f ca="1">SUM($B48:K48)</f>
        <v>21</v>
      </c>
      <c r="L49" s="8">
        <f ca="1">SUM($B48:L48)</f>
        <v>24</v>
      </c>
      <c r="M49" s="8">
        <f ca="1">SUM($B48:M48)</f>
        <v>27</v>
      </c>
      <c r="N49" s="9"/>
      <c r="O49" s="9"/>
      <c r="P49" s="8"/>
      <c r="Q49" s="8"/>
      <c r="R49" s="8"/>
      <c r="S49" s="8"/>
      <c r="T49" s="8"/>
      <c r="U49" s="9"/>
      <c r="V49" s="9"/>
      <c r="W49" s="8"/>
      <c r="X49" s="8"/>
      <c r="Y49" s="8"/>
      <c r="Z49" s="8"/>
      <c r="AA49" s="8"/>
      <c r="AB49" s="9"/>
      <c r="AC49" s="9"/>
      <c r="AD49" s="8"/>
      <c r="AE49" s="8"/>
      <c r="AF49" s="8"/>
      <c r="AG49" s="8"/>
      <c r="AH49" s="8"/>
      <c r="AI49" s="9"/>
      <c r="AJ49" s="9"/>
      <c r="AK49" s="8"/>
      <c r="AL49" s="8"/>
      <c r="AM49" s="15"/>
      <c r="AN49" s="8"/>
      <c r="AO49" s="7"/>
      <c r="AP49" s="16"/>
      <c r="AQ49" s="16"/>
    </row>
    <row r="50" spans="1:43" s="5" customFormat="1" ht="15" customHeight="1" x14ac:dyDescent="0.25">
      <c r="A50" s="6" t="s">
        <v>283</v>
      </c>
      <c r="B50" s="17">
        <f ca="1">B49/G4</f>
        <v>0.14814814814814814</v>
      </c>
      <c r="C50" s="17">
        <f ca="1">C49/G4</f>
        <v>0.29629629629629628</v>
      </c>
      <c r="D50" s="18">
        <f ca="1">D49/G4</f>
        <v>0.44444444444444442</v>
      </c>
      <c r="E50" s="18">
        <f ca="1">E49/G4</f>
        <v>0.55555555555555558</v>
      </c>
      <c r="F50" s="50">
        <f ca="1">F49/G4</f>
        <v>0.55555555555555558</v>
      </c>
      <c r="G50" s="19">
        <f ca="1">G49/G4</f>
        <v>0.55555555555555558</v>
      </c>
      <c r="H50" s="19">
        <f ca="1">H49/G4</f>
        <v>0.55555555555555558</v>
      </c>
      <c r="I50" s="50">
        <f ca="1">I49/G4</f>
        <v>0.55555555555555558</v>
      </c>
      <c r="J50" s="18">
        <f ca="1">J49/G4</f>
        <v>0.66666666666666663</v>
      </c>
      <c r="K50" s="18">
        <f ca="1">K49/G4</f>
        <v>0.77777777777777779</v>
      </c>
      <c r="L50" s="18">
        <f ca="1">L49/G4</f>
        <v>0.88888888888888884</v>
      </c>
      <c r="M50" s="18">
        <f ca="1">M49/G4</f>
        <v>1</v>
      </c>
      <c r="N50" s="19"/>
      <c r="O50" s="19"/>
      <c r="P50" s="18"/>
      <c r="Q50" s="18"/>
      <c r="R50" s="18"/>
      <c r="S50" s="18"/>
      <c r="T50" s="18"/>
      <c r="U50" s="19"/>
      <c r="V50" s="19"/>
      <c r="W50" s="18"/>
      <c r="X50" s="18"/>
      <c r="Y50" s="18"/>
      <c r="Z50" s="18"/>
      <c r="AA50" s="18"/>
      <c r="AB50" s="19"/>
      <c r="AC50" s="19"/>
      <c r="AD50" s="18"/>
      <c r="AE50" s="18"/>
      <c r="AF50" s="18"/>
      <c r="AG50" s="18"/>
      <c r="AH50" s="18"/>
      <c r="AI50" s="19"/>
      <c r="AJ50" s="19"/>
      <c r="AK50" s="18"/>
      <c r="AL50" s="18"/>
      <c r="AM50" s="18"/>
      <c r="AN50" s="20"/>
      <c r="AO50" s="18"/>
      <c r="AP50" s="21"/>
      <c r="AQ50" s="21"/>
    </row>
    <row r="51" spans="1:43" s="5" customFormat="1" ht="15" customHeight="1" x14ac:dyDescent="0.25">
      <c r="A51" s="6" t="s">
        <v>290</v>
      </c>
      <c r="B51" s="22">
        <v>6.1829787234042602E-2</v>
      </c>
      <c r="C51" s="22">
        <v>0.11512027491408934</v>
      </c>
      <c r="D51" s="23">
        <v>0.19387755102040816</v>
      </c>
      <c r="E51" s="23">
        <v>0.19387755102040816</v>
      </c>
      <c r="F51" s="51">
        <v>0.35584415584415585</v>
      </c>
      <c r="G51" s="24">
        <v>0.35584415584415585</v>
      </c>
      <c r="H51" s="24">
        <v>0.35584415584415585</v>
      </c>
      <c r="I51" s="51">
        <v>0.35584415584415585</v>
      </c>
      <c r="J51" s="23">
        <v>0.53246753246753242</v>
      </c>
      <c r="K51" s="23">
        <v>0.62041884816753923</v>
      </c>
      <c r="L51" s="23">
        <v>0.79</v>
      </c>
      <c r="M51" s="23">
        <v>1</v>
      </c>
      <c r="N51" s="24"/>
      <c r="O51" s="24"/>
      <c r="P51" s="23"/>
      <c r="Q51" s="23"/>
      <c r="R51" s="23"/>
      <c r="S51" s="23"/>
      <c r="T51" s="23"/>
      <c r="U51" s="24"/>
      <c r="V51" s="24"/>
      <c r="W51" s="23"/>
      <c r="X51" s="23"/>
      <c r="Y51" s="23"/>
      <c r="Z51" s="23"/>
      <c r="AA51" s="23"/>
      <c r="AB51" s="24"/>
      <c r="AC51" s="24"/>
      <c r="AD51" s="23"/>
      <c r="AE51" s="23"/>
      <c r="AF51" s="23"/>
      <c r="AG51" s="23"/>
      <c r="AH51" s="23"/>
      <c r="AI51" s="24"/>
      <c r="AJ51" s="24"/>
      <c r="AK51" s="23"/>
      <c r="AL51" s="23"/>
      <c r="AM51" s="23"/>
      <c r="AN51" s="25"/>
      <c r="AO51" s="23"/>
      <c r="AP51" s="26"/>
      <c r="AQ51" s="26"/>
    </row>
    <row r="52" spans="1:43" s="5" customFormat="1" ht="15" customHeight="1" x14ac:dyDescent="0.25">
      <c r="A52" s="6" t="s">
        <v>291</v>
      </c>
      <c r="B52" s="22">
        <v>2E-3</v>
      </c>
      <c r="C52" s="22">
        <v>6.7000000000000004E-2</v>
      </c>
      <c r="D52" s="23">
        <v>8.4000000000000005E-2</v>
      </c>
      <c r="E52" s="23">
        <v>8.4000000000000005E-2</v>
      </c>
      <c r="F52" s="51">
        <v>7.1999999999999995E-2</v>
      </c>
      <c r="G52" s="24">
        <v>7.1999999999999995E-2</v>
      </c>
      <c r="H52" s="24">
        <v>7.1999999999999995E-2</v>
      </c>
      <c r="I52" s="51">
        <v>7.1999999999999995E-2</v>
      </c>
      <c r="J52" s="23">
        <v>7.1999999999999995E-2</v>
      </c>
      <c r="K52" s="23">
        <v>7.1999999999999995E-2</v>
      </c>
      <c r="L52" s="23">
        <v>0</v>
      </c>
      <c r="M52" s="23">
        <v>0</v>
      </c>
      <c r="N52" s="24"/>
      <c r="O52" s="24"/>
      <c r="P52" s="23"/>
      <c r="Q52" s="23"/>
      <c r="R52" s="23"/>
      <c r="S52" s="23"/>
      <c r="T52" s="23"/>
      <c r="U52" s="24"/>
      <c r="V52" s="24"/>
      <c r="W52" s="23"/>
      <c r="X52" s="23"/>
      <c r="Y52" s="23"/>
      <c r="Z52" s="23"/>
      <c r="AA52" s="23"/>
      <c r="AB52" s="24"/>
      <c r="AC52" s="24"/>
      <c r="AD52" s="23"/>
      <c r="AE52" s="23"/>
      <c r="AF52" s="23"/>
      <c r="AG52" s="23"/>
      <c r="AH52" s="23"/>
      <c r="AI52" s="24"/>
      <c r="AJ52" s="24"/>
      <c r="AK52" s="23"/>
      <c r="AL52" s="23"/>
      <c r="AM52" s="23"/>
      <c r="AN52" s="25"/>
      <c r="AO52" s="23"/>
      <c r="AP52" s="26"/>
      <c r="AQ52" s="26"/>
    </row>
    <row r="53" spans="1:43" s="5" customFormat="1" ht="15" customHeight="1" x14ac:dyDescent="0.25">
      <c r="A53" s="6" t="s">
        <v>284</v>
      </c>
      <c r="B53" s="22">
        <v>0</v>
      </c>
      <c r="C53" s="22">
        <v>8.5910652920962206E-3</v>
      </c>
      <c r="D53" s="23">
        <v>3.0612244897959183E-2</v>
      </c>
      <c r="E53" s="23">
        <v>3.0612244897959183E-2</v>
      </c>
      <c r="F53" s="51">
        <v>6.0000000000000001E-3</v>
      </c>
      <c r="G53" s="24">
        <v>6.0000000000000001E-3</v>
      </c>
      <c r="H53" s="24">
        <v>6.0000000000000001E-3</v>
      </c>
      <c r="I53" s="51">
        <v>6.0000000000000001E-3</v>
      </c>
      <c r="J53" s="23">
        <v>1.2999999999999999E-2</v>
      </c>
      <c r="K53" s="23">
        <v>1.2999999999999999E-2</v>
      </c>
      <c r="L53" s="23">
        <v>0</v>
      </c>
      <c r="M53" s="23">
        <v>0</v>
      </c>
      <c r="N53" s="24"/>
      <c r="O53" s="24"/>
      <c r="P53" s="23"/>
      <c r="Q53" s="23"/>
      <c r="R53" s="23"/>
      <c r="S53" s="23"/>
      <c r="T53" s="23"/>
      <c r="U53" s="24"/>
      <c r="V53" s="24"/>
      <c r="W53" s="23"/>
      <c r="X53" s="23"/>
      <c r="Y53" s="23"/>
      <c r="Z53" s="23"/>
      <c r="AA53" s="23"/>
      <c r="AB53" s="24"/>
      <c r="AC53" s="24"/>
      <c r="AD53" s="23"/>
      <c r="AE53" s="23"/>
      <c r="AF53" s="23"/>
      <c r="AG53" s="23"/>
      <c r="AH53" s="23"/>
      <c r="AI53" s="24"/>
      <c r="AJ53" s="24"/>
      <c r="AK53" s="23"/>
      <c r="AL53" s="23"/>
      <c r="AM53" s="23"/>
      <c r="AN53" s="25"/>
      <c r="AO53" s="23"/>
      <c r="AP53" s="26"/>
      <c r="AQ53" s="26"/>
    </row>
    <row r="54" spans="1:43" s="5" customFormat="1" ht="15" customHeight="1" x14ac:dyDescent="0.25">
      <c r="A54" s="6" t="s">
        <v>285</v>
      </c>
      <c r="B54" s="22">
        <v>0.93617021276595747</v>
      </c>
      <c r="C54" s="22">
        <v>0.78522336769759449</v>
      </c>
      <c r="D54" s="23">
        <v>0.65816326530612246</v>
      </c>
      <c r="E54" s="23">
        <v>0.65816326530612246</v>
      </c>
      <c r="F54" s="51">
        <v>0.48831168831168831</v>
      </c>
      <c r="G54" s="24">
        <v>0.48831168831168831</v>
      </c>
      <c r="H54" s="24">
        <v>0.48831168831168831</v>
      </c>
      <c r="I54" s="51">
        <v>0.48831168831168831</v>
      </c>
      <c r="J54" s="23">
        <f>34.6%</f>
        <v>0.34600000000000003</v>
      </c>
      <c r="K54" s="23">
        <v>0.20399999999999999</v>
      </c>
      <c r="L54" s="23">
        <v>0</v>
      </c>
      <c r="M54" s="23">
        <v>0</v>
      </c>
      <c r="N54" s="24"/>
      <c r="O54" s="24"/>
      <c r="P54" s="23"/>
      <c r="Q54" s="23"/>
      <c r="R54" s="23"/>
      <c r="S54" s="23"/>
      <c r="T54" s="23"/>
      <c r="U54" s="24"/>
      <c r="V54" s="24"/>
      <c r="W54" s="23"/>
      <c r="X54" s="23"/>
      <c r="Y54" s="23"/>
      <c r="Z54" s="23"/>
      <c r="AA54" s="23"/>
      <c r="AB54" s="24"/>
      <c r="AC54" s="24"/>
      <c r="AD54" s="23"/>
      <c r="AE54" s="23"/>
      <c r="AF54" s="23"/>
      <c r="AG54" s="23"/>
      <c r="AH54" s="23"/>
      <c r="AI54" s="24"/>
      <c r="AJ54" s="24"/>
      <c r="AK54" s="23"/>
      <c r="AL54" s="23"/>
      <c r="AM54" s="23"/>
      <c r="AN54" s="25"/>
      <c r="AO54" s="23"/>
      <c r="AP54" s="26"/>
      <c r="AQ54" s="26"/>
    </row>
    <row r="55" spans="1:43" s="5" customFormat="1" ht="15" customHeight="1" x14ac:dyDescent="0.25">
      <c r="A55" s="6" t="s">
        <v>286</v>
      </c>
      <c r="B55" s="22">
        <v>0</v>
      </c>
      <c r="C55" s="22">
        <v>2.4054982817869417E-2</v>
      </c>
      <c r="D55" s="23">
        <v>3.3163265306122451E-2</v>
      </c>
      <c r="E55" s="23">
        <v>3.3163265306122451E-2</v>
      </c>
      <c r="F55" s="51">
        <v>7.792207792207792E-2</v>
      </c>
      <c r="G55" s="24">
        <v>7.792207792207792E-2</v>
      </c>
      <c r="H55" s="24">
        <v>7.792207792207792E-2</v>
      </c>
      <c r="I55" s="51">
        <v>7.792207792207792E-2</v>
      </c>
      <c r="J55" s="23">
        <v>3.6363636363636362E-2</v>
      </c>
      <c r="K55" s="23">
        <v>9.0999999999999998E-2</v>
      </c>
      <c r="L55" s="23">
        <v>0.21</v>
      </c>
      <c r="M55" s="23">
        <v>0</v>
      </c>
      <c r="N55" s="24"/>
      <c r="O55" s="24"/>
      <c r="P55" s="23"/>
      <c r="Q55" s="23"/>
      <c r="R55" s="23"/>
      <c r="S55" s="23"/>
      <c r="T55" s="23"/>
      <c r="U55" s="24"/>
      <c r="V55" s="24"/>
      <c r="W55" s="23"/>
      <c r="X55" s="23"/>
      <c r="Y55" s="23"/>
      <c r="Z55" s="23"/>
      <c r="AA55" s="23"/>
      <c r="AB55" s="24"/>
      <c r="AC55" s="24"/>
      <c r="AD55" s="23"/>
      <c r="AE55" s="23"/>
      <c r="AF55" s="23"/>
      <c r="AG55" s="23"/>
      <c r="AH55" s="23"/>
      <c r="AI55" s="24"/>
      <c r="AJ55" s="24"/>
      <c r="AK55" s="23"/>
      <c r="AL55" s="23"/>
      <c r="AM55" s="23"/>
      <c r="AN55" s="25"/>
      <c r="AO55" s="23"/>
      <c r="AP55" s="26"/>
      <c r="AQ55" s="26"/>
    </row>
    <row r="56" spans="1:43" s="5" customFormat="1" ht="15" customHeight="1" x14ac:dyDescent="0.25"/>
    <row r="57" spans="1:43" s="5" customFormat="1" ht="15" hidden="1" customHeight="1" thickBot="1" x14ac:dyDescent="0.3">
      <c r="A57" s="27" t="s">
        <v>287</v>
      </c>
      <c r="B57" s="28">
        <f t="array" aca="1" ref="B57" ca="1">SUMPRODUCT((WEEKDAY(dates,2)&lt;6)*(ISNUMBER(dates))*(COUNTIF(datesJF,dates)=0))</f>
        <v>8</v>
      </c>
    </row>
    <row r="58" spans="1:43" s="31" customFormat="1" ht="15" hidden="1" customHeight="1" thickBot="1" x14ac:dyDescent="0.3">
      <c r="A58" s="29" t="e">
        <f t="array" ref="A58:H58" ca="1">_xlfn._xlws.FILTER(dates,(WEEKDAY(dates,2)&lt;6)* (ISERROR(MATCH(dates,datesJF,0))),1)</f>
        <v>#NAME?</v>
      </c>
      <c r="B58" s="30" t="e">
        <f ca="1"/>
        <v>#NAME?</v>
      </c>
      <c r="C58" s="31" t="e">
        <f ca="1"/>
        <v>#NAME?</v>
      </c>
      <c r="D58" s="31" t="e">
        <f ca="1"/>
        <v>#NAME?</v>
      </c>
      <c r="E58" s="31" t="e">
        <f ca="1"/>
        <v>#NAME?</v>
      </c>
      <c r="F58" s="31" t="e">
        <f ca="1"/>
        <v>#NAME?</v>
      </c>
      <c r="G58" s="31" t="e">
        <f ca="1"/>
        <v>#NAME?</v>
      </c>
      <c r="H58" s="31" t="e">
        <f ca="1"/>
        <v>#NAME?</v>
      </c>
    </row>
    <row r="59" spans="1:43" s="5" customFormat="1" ht="15" customHeight="1" thickBot="1" x14ac:dyDescent="0.3">
      <c r="B59" s="32"/>
    </row>
    <row r="60" spans="1:43" s="5" customFormat="1" ht="15" customHeight="1" thickBot="1" x14ac:dyDescent="0.3">
      <c r="A60" s="33" t="s">
        <v>288</v>
      </c>
      <c r="B60" s="34">
        <v>46059</v>
      </c>
      <c r="C60" s="34">
        <v>46062</v>
      </c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  <c r="AL60" s="34"/>
      <c r="AM60" s="34"/>
      <c r="AN60" s="34"/>
      <c r="AO60" s="34"/>
      <c r="AP60" s="34"/>
      <c r="AQ60" s="34"/>
    </row>
    <row r="61" spans="1:43" s="5" customFormat="1" ht="15" customHeight="1" thickBot="1" x14ac:dyDescent="0.3">
      <c r="A61" s="46" t="s">
        <v>287</v>
      </c>
      <c r="B61" s="28">
        <f ca="1">SUMPRODUCT((WEEKDAY(dates,2)&lt;6)*(ISNUMBER(dates))*(COUNTIF(datesJF,dates)=0))</f>
        <v>8</v>
      </c>
    </row>
    <row r="62" spans="1:43" s="5" customFormat="1" ht="15" hidden="1" customHeight="1" thickBot="1" x14ac:dyDescent="0.3">
      <c r="A62" s="35">
        <f t="shared" ref="A62:A73" ca="1" si="0">IF(
   AND(
      WEEKDAY(INDEX(dates,ROW(AA1)),2)&lt;6,
      ISERROR(MATCH(INDEX(dates,ROW(AA1)),datesJF,0))
   ),
   INDEX(dates,ROW(AA1)),
   ""
)</f>
        <v>46055</v>
      </c>
    </row>
    <row r="63" spans="1:43" s="5" customFormat="1" ht="15" hidden="1" customHeight="1" thickBot="1" x14ac:dyDescent="0.3">
      <c r="A63" s="35">
        <f t="shared" ca="1" si="0"/>
        <v>46056</v>
      </c>
    </row>
    <row r="64" spans="1:43" s="5" customFormat="1" ht="15" hidden="1" customHeight="1" thickBot="1" x14ac:dyDescent="0.3">
      <c r="A64" s="35">
        <f t="shared" ca="1" si="0"/>
        <v>46057</v>
      </c>
    </row>
    <row r="65" spans="1:1" s="5" customFormat="1" ht="15" hidden="1" customHeight="1" thickBot="1" x14ac:dyDescent="0.3">
      <c r="A65" s="35">
        <f t="shared" ca="1" si="0"/>
        <v>46058</v>
      </c>
    </row>
    <row r="66" spans="1:1" s="5" customFormat="1" ht="15" hidden="1" customHeight="1" thickBot="1" x14ac:dyDescent="0.3">
      <c r="A66" s="47" t="str">
        <f t="shared" ca="1" si="0"/>
        <v/>
      </c>
    </row>
    <row r="67" spans="1:1" s="5" customFormat="1" ht="15" hidden="1" customHeight="1" thickBot="1" x14ac:dyDescent="0.3">
      <c r="A67" s="36" t="str">
        <f t="shared" ca="1" si="0"/>
        <v/>
      </c>
    </row>
    <row r="68" spans="1:1" s="5" customFormat="1" ht="15" hidden="1" customHeight="1" thickBot="1" x14ac:dyDescent="0.3">
      <c r="A68" s="36" t="str">
        <f t="shared" ca="1" si="0"/>
        <v/>
      </c>
    </row>
    <row r="69" spans="1:1" s="5" customFormat="1" ht="15" hidden="1" customHeight="1" thickBot="1" x14ac:dyDescent="0.3">
      <c r="A69" s="47" t="str">
        <f t="shared" ca="1" si="0"/>
        <v/>
      </c>
    </row>
    <row r="70" spans="1:1" s="5" customFormat="1" ht="15" hidden="1" customHeight="1" thickBot="1" x14ac:dyDescent="0.3">
      <c r="A70" s="35">
        <f t="shared" ca="1" si="0"/>
        <v>46063</v>
      </c>
    </row>
    <row r="71" spans="1:1" s="5" customFormat="1" ht="15" hidden="1" customHeight="1" thickBot="1" x14ac:dyDescent="0.3">
      <c r="A71" s="35">
        <f t="shared" ca="1" si="0"/>
        <v>46064</v>
      </c>
    </row>
    <row r="72" spans="1:1" ht="15.75" hidden="1" thickBot="1" x14ac:dyDescent="0.3">
      <c r="A72" s="35">
        <f t="shared" ca="1" si="0"/>
        <v>46065</v>
      </c>
    </row>
    <row r="73" spans="1:1" ht="15.75" hidden="1" thickBot="1" x14ac:dyDescent="0.3">
      <c r="A73" s="35">
        <f t="shared" ca="1" si="0"/>
        <v>46066</v>
      </c>
    </row>
  </sheetData>
  <mergeCells count="1">
    <mergeCell ref="B2:F2"/>
  </mergeCells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DA5B-E6E6-4E51-80A4-8384658135B6}">
  <sheetPr>
    <tabColor rgb="FFC00000"/>
  </sheetPr>
  <dimension ref="A1:G26"/>
  <sheetViews>
    <sheetView workbookViewId="0">
      <selection activeCell="E16" sqref="E16"/>
    </sheetView>
  </sheetViews>
  <sheetFormatPr defaultRowHeight="15" x14ac:dyDescent="0.25"/>
  <cols>
    <col min="2" max="2" width="62.28515625" bestFit="1" customWidth="1"/>
    <col min="3" max="3" width="13.5703125" customWidth="1"/>
    <col min="5" max="5" width="16.140625" customWidth="1"/>
    <col min="6" max="6" width="9.7109375" customWidth="1"/>
    <col min="7" max="7" width="23.140625" customWidth="1"/>
  </cols>
  <sheetData>
    <row r="1" spans="1:7" x14ac:dyDescent="0.25">
      <c r="A1" t="s">
        <v>198</v>
      </c>
      <c r="B1" t="s">
        <v>199</v>
      </c>
      <c r="C1" t="s">
        <v>2</v>
      </c>
      <c r="D1" t="s">
        <v>0</v>
      </c>
      <c r="E1" t="s">
        <v>200</v>
      </c>
      <c r="F1" t="s">
        <v>4</v>
      </c>
      <c r="G1" t="s">
        <v>10</v>
      </c>
    </row>
    <row r="2" spans="1:7" x14ac:dyDescent="0.25">
      <c r="A2" t="s">
        <v>201</v>
      </c>
      <c r="B2" t="s">
        <v>202</v>
      </c>
      <c r="C2" t="s">
        <v>15</v>
      </c>
      <c r="D2" t="s">
        <v>13</v>
      </c>
      <c r="E2" t="s">
        <v>203</v>
      </c>
      <c r="F2" t="s">
        <v>17</v>
      </c>
      <c r="G2" t="s">
        <v>23</v>
      </c>
    </row>
    <row r="3" spans="1:7" x14ac:dyDescent="0.25">
      <c r="A3" t="s">
        <v>201</v>
      </c>
      <c r="B3" t="s">
        <v>202</v>
      </c>
      <c r="C3" t="s">
        <v>26</v>
      </c>
      <c r="D3" t="s">
        <v>25</v>
      </c>
      <c r="E3" t="s">
        <v>204</v>
      </c>
      <c r="F3" t="s">
        <v>28</v>
      </c>
      <c r="G3" t="s">
        <v>33</v>
      </c>
    </row>
    <row r="4" spans="1:7" x14ac:dyDescent="0.25">
      <c r="A4" t="s">
        <v>201</v>
      </c>
      <c r="B4" t="s">
        <v>202</v>
      </c>
      <c r="C4" t="s">
        <v>35</v>
      </c>
      <c r="D4" t="s">
        <v>34</v>
      </c>
      <c r="E4" t="s">
        <v>204</v>
      </c>
      <c r="F4" t="s">
        <v>28</v>
      </c>
      <c r="G4" t="s">
        <v>33</v>
      </c>
    </row>
    <row r="5" spans="1:7" x14ac:dyDescent="0.25">
      <c r="A5" t="s">
        <v>201</v>
      </c>
      <c r="B5" t="s">
        <v>202</v>
      </c>
      <c r="C5" t="s">
        <v>41</v>
      </c>
      <c r="D5" t="s">
        <v>40</v>
      </c>
      <c r="E5" t="s">
        <v>204</v>
      </c>
      <c r="F5" t="s">
        <v>28</v>
      </c>
      <c r="G5" t="s">
        <v>33</v>
      </c>
    </row>
    <row r="6" spans="1:7" x14ac:dyDescent="0.25">
      <c r="A6" t="s">
        <v>205</v>
      </c>
      <c r="B6" t="s">
        <v>206</v>
      </c>
      <c r="C6" t="s">
        <v>48</v>
      </c>
      <c r="D6" t="s">
        <v>47</v>
      </c>
      <c r="E6" t="s">
        <v>203</v>
      </c>
      <c r="F6" t="s">
        <v>17</v>
      </c>
      <c r="G6" t="s">
        <v>23</v>
      </c>
    </row>
    <row r="7" spans="1:7" x14ac:dyDescent="0.25">
      <c r="A7" t="s">
        <v>205</v>
      </c>
      <c r="B7" t="s">
        <v>206</v>
      </c>
      <c r="C7" t="s">
        <v>55</v>
      </c>
      <c r="D7" t="s">
        <v>54</v>
      </c>
      <c r="E7" t="s">
        <v>204</v>
      </c>
      <c r="F7" t="s">
        <v>17</v>
      </c>
      <c r="G7" t="s">
        <v>23</v>
      </c>
    </row>
    <row r="8" spans="1:7" x14ac:dyDescent="0.25">
      <c r="A8" t="s">
        <v>205</v>
      </c>
      <c r="B8" t="s">
        <v>206</v>
      </c>
      <c r="C8" t="s">
        <v>61</v>
      </c>
      <c r="D8" t="s">
        <v>60</v>
      </c>
      <c r="E8" t="s">
        <v>204</v>
      </c>
      <c r="F8" t="s">
        <v>28</v>
      </c>
      <c r="G8" t="s">
        <v>33</v>
      </c>
    </row>
    <row r="9" spans="1:7" x14ac:dyDescent="0.25">
      <c r="A9" t="s">
        <v>205</v>
      </c>
      <c r="B9" t="s">
        <v>207</v>
      </c>
      <c r="C9" t="s">
        <v>67</v>
      </c>
      <c r="D9" t="s">
        <v>66</v>
      </c>
      <c r="E9" t="s">
        <v>203</v>
      </c>
      <c r="F9" t="s">
        <v>17</v>
      </c>
      <c r="G9" t="s">
        <v>23</v>
      </c>
    </row>
    <row r="10" spans="1:7" x14ac:dyDescent="0.25">
      <c r="A10" t="s">
        <v>208</v>
      </c>
      <c r="B10" t="s">
        <v>209</v>
      </c>
      <c r="C10" t="s">
        <v>88</v>
      </c>
      <c r="D10" t="s">
        <v>86</v>
      </c>
      <c r="E10" t="s">
        <v>203</v>
      </c>
      <c r="F10" t="s">
        <v>17</v>
      </c>
      <c r="G10" t="s">
        <v>23</v>
      </c>
    </row>
    <row r="11" spans="1:7" x14ac:dyDescent="0.25">
      <c r="A11" t="s">
        <v>208</v>
      </c>
      <c r="B11" t="s">
        <v>210</v>
      </c>
      <c r="C11" t="s">
        <v>101</v>
      </c>
      <c r="D11" t="s">
        <v>100</v>
      </c>
      <c r="E11" t="s">
        <v>204</v>
      </c>
      <c r="F11" t="s">
        <v>28</v>
      </c>
      <c r="G11" t="s">
        <v>33</v>
      </c>
    </row>
    <row r="12" spans="1:7" x14ac:dyDescent="0.25">
      <c r="A12" t="s">
        <v>211</v>
      </c>
      <c r="B12" t="s">
        <v>212</v>
      </c>
      <c r="C12" t="s">
        <v>109</v>
      </c>
      <c r="D12" t="s">
        <v>107</v>
      </c>
      <c r="E12" t="s">
        <v>203</v>
      </c>
      <c r="F12" t="s">
        <v>17</v>
      </c>
      <c r="G12" t="s">
        <v>23</v>
      </c>
    </row>
    <row r="13" spans="1:7" x14ac:dyDescent="0.25">
      <c r="A13" t="s">
        <v>211</v>
      </c>
      <c r="B13" t="s">
        <v>213</v>
      </c>
      <c r="C13" t="s">
        <v>122</v>
      </c>
      <c r="D13" t="s">
        <v>121</v>
      </c>
      <c r="E13" t="s">
        <v>203</v>
      </c>
      <c r="F13" t="s">
        <v>17</v>
      </c>
      <c r="G13" t="s">
        <v>23</v>
      </c>
    </row>
    <row r="14" spans="1:7" x14ac:dyDescent="0.25">
      <c r="A14" t="s">
        <v>211</v>
      </c>
      <c r="B14" t="s">
        <v>214</v>
      </c>
      <c r="C14" t="s">
        <v>129</v>
      </c>
      <c r="D14" t="s">
        <v>128</v>
      </c>
      <c r="E14" t="s">
        <v>203</v>
      </c>
      <c r="F14" t="s">
        <v>17</v>
      </c>
      <c r="G14" t="s">
        <v>23</v>
      </c>
    </row>
    <row r="15" spans="1:7" x14ac:dyDescent="0.25">
      <c r="A15" t="s">
        <v>211</v>
      </c>
      <c r="B15" t="s">
        <v>215</v>
      </c>
      <c r="C15" t="s">
        <v>134</v>
      </c>
      <c r="D15" t="s">
        <v>133</v>
      </c>
      <c r="E15" t="s">
        <v>216</v>
      </c>
      <c r="F15" t="s">
        <v>28</v>
      </c>
      <c r="G15" t="s">
        <v>33</v>
      </c>
    </row>
    <row r="16" spans="1:7" x14ac:dyDescent="0.25">
      <c r="A16" t="s">
        <v>211</v>
      </c>
      <c r="B16" t="s">
        <v>217</v>
      </c>
      <c r="C16" t="s">
        <v>139</v>
      </c>
      <c r="D16" t="s">
        <v>138</v>
      </c>
      <c r="E16" t="s">
        <v>204</v>
      </c>
      <c r="F16" t="s">
        <v>28</v>
      </c>
      <c r="G16" t="s">
        <v>33</v>
      </c>
    </row>
    <row r="17" spans="1:7" x14ac:dyDescent="0.25">
      <c r="A17" t="s">
        <v>218</v>
      </c>
      <c r="B17" t="s">
        <v>219</v>
      </c>
      <c r="C17" t="s">
        <v>146</v>
      </c>
      <c r="D17" t="s">
        <v>144</v>
      </c>
      <c r="E17" t="s">
        <v>203</v>
      </c>
      <c r="F17" t="s">
        <v>17</v>
      </c>
      <c r="G17" t="s">
        <v>23</v>
      </c>
    </row>
    <row r="18" spans="1:7" x14ac:dyDescent="0.25">
      <c r="A18" t="s">
        <v>218</v>
      </c>
      <c r="B18" t="s">
        <v>220</v>
      </c>
      <c r="C18" t="s">
        <v>153</v>
      </c>
      <c r="D18" t="s">
        <v>152</v>
      </c>
      <c r="E18" t="s">
        <v>204</v>
      </c>
      <c r="F18" t="s">
        <v>17</v>
      </c>
      <c r="G18" t="s">
        <v>23</v>
      </c>
    </row>
    <row r="19" spans="1:7" x14ac:dyDescent="0.25">
      <c r="A19" t="s">
        <v>218</v>
      </c>
      <c r="B19" t="s">
        <v>221</v>
      </c>
      <c r="C19" t="s">
        <v>158</v>
      </c>
      <c r="D19" t="s">
        <v>157</v>
      </c>
      <c r="E19" t="s">
        <v>204</v>
      </c>
      <c r="F19" t="s">
        <v>28</v>
      </c>
      <c r="G19" t="s">
        <v>33</v>
      </c>
    </row>
    <row r="20" spans="1:7" x14ac:dyDescent="0.25">
      <c r="A20" t="s">
        <v>218</v>
      </c>
      <c r="B20" t="s">
        <v>222</v>
      </c>
      <c r="C20" t="s">
        <v>164</v>
      </c>
      <c r="D20" t="s">
        <v>163</v>
      </c>
      <c r="E20" t="s">
        <v>204</v>
      </c>
      <c r="F20" t="s">
        <v>28</v>
      </c>
      <c r="G20" t="s">
        <v>33</v>
      </c>
    </row>
    <row r="21" spans="1:7" x14ac:dyDescent="0.25">
      <c r="A21" t="s">
        <v>223</v>
      </c>
      <c r="B21" t="s">
        <v>224</v>
      </c>
      <c r="C21" t="s">
        <v>170</v>
      </c>
      <c r="D21" t="s">
        <v>168</v>
      </c>
      <c r="E21" t="s">
        <v>203</v>
      </c>
      <c r="F21" t="s">
        <v>17</v>
      </c>
      <c r="G21" t="s">
        <v>23</v>
      </c>
    </row>
    <row r="22" spans="1:7" x14ac:dyDescent="0.25">
      <c r="A22" t="s">
        <v>223</v>
      </c>
      <c r="B22" t="s">
        <v>225</v>
      </c>
      <c r="C22" t="s">
        <v>177</v>
      </c>
      <c r="D22" t="s">
        <v>176</v>
      </c>
      <c r="E22" t="s">
        <v>204</v>
      </c>
      <c r="F22" t="s">
        <v>28</v>
      </c>
      <c r="G22" t="s">
        <v>33</v>
      </c>
    </row>
    <row r="23" spans="1:7" x14ac:dyDescent="0.25">
      <c r="A23" t="s">
        <v>223</v>
      </c>
      <c r="B23" t="s">
        <v>226</v>
      </c>
      <c r="C23" t="s">
        <v>182</v>
      </c>
      <c r="D23" t="s">
        <v>181</v>
      </c>
      <c r="E23" t="s">
        <v>203</v>
      </c>
      <c r="F23" t="s">
        <v>17</v>
      </c>
      <c r="G23" t="s">
        <v>33</v>
      </c>
    </row>
    <row r="24" spans="1:7" x14ac:dyDescent="0.25">
      <c r="A24" t="s">
        <v>227</v>
      </c>
      <c r="B24" t="s">
        <v>228</v>
      </c>
      <c r="C24" t="s">
        <v>74</v>
      </c>
      <c r="D24" t="s">
        <v>73</v>
      </c>
      <c r="E24" t="s">
        <v>229</v>
      </c>
      <c r="F24" t="s">
        <v>17</v>
      </c>
      <c r="G24" t="s">
        <v>33</v>
      </c>
    </row>
    <row r="25" spans="1:7" x14ac:dyDescent="0.25">
      <c r="A25" t="s">
        <v>227</v>
      </c>
      <c r="B25" t="s">
        <v>230</v>
      </c>
      <c r="C25" t="s">
        <v>189</v>
      </c>
      <c r="D25" t="s">
        <v>188</v>
      </c>
      <c r="E25" t="s">
        <v>229</v>
      </c>
      <c r="F25" t="s">
        <v>17</v>
      </c>
      <c r="G25" t="s">
        <v>33</v>
      </c>
    </row>
    <row r="26" spans="1:7" x14ac:dyDescent="0.25">
      <c r="A26" t="s">
        <v>231</v>
      </c>
      <c r="B26" t="s">
        <v>232</v>
      </c>
      <c r="C26" t="s">
        <v>80</v>
      </c>
      <c r="D26" t="s">
        <v>79</v>
      </c>
      <c r="E26" t="s">
        <v>216</v>
      </c>
      <c r="F26" t="s">
        <v>28</v>
      </c>
      <c r="G26" t="s">
        <v>33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34253-F119-435D-B462-DFDF5C3C92CB}">
  <sheetPr>
    <tabColor theme="7"/>
  </sheetPr>
  <dimension ref="A1:P28"/>
  <sheetViews>
    <sheetView topLeftCell="G1" workbookViewId="0">
      <selection activeCell="G21" sqref="A21:XFD21"/>
    </sheetView>
  </sheetViews>
  <sheetFormatPr defaultRowHeight="15" x14ac:dyDescent="0.25"/>
  <cols>
    <col min="1" max="1" width="8.28515625" bestFit="1" customWidth="1"/>
    <col min="2" max="2" width="16.85546875" bestFit="1" customWidth="1"/>
    <col min="3" max="3" width="13.5703125" customWidth="1"/>
    <col min="4" max="4" width="40.85546875" bestFit="1" customWidth="1"/>
    <col min="5" max="5" width="9.7109375" customWidth="1"/>
    <col min="6" max="6" width="34.140625" bestFit="1" customWidth="1"/>
    <col min="7" max="7" width="31.85546875" bestFit="1" customWidth="1"/>
    <col min="8" max="8" width="48.28515625" customWidth="1"/>
    <col min="9" max="9" width="60" bestFit="1" customWidth="1"/>
    <col min="10" max="10" width="16.5703125" customWidth="1"/>
    <col min="11" max="11" width="12.140625" customWidth="1"/>
    <col min="13" max="13" width="15" customWidth="1"/>
    <col min="14" max="14" width="14.42578125" customWidth="1"/>
    <col min="15" max="15" width="11.42578125" customWidth="1"/>
    <col min="16" max="16" width="39.5703125" bestFit="1" customWidth="1"/>
  </cols>
  <sheetData>
    <row r="1" spans="1:16" s="1" customFormat="1" ht="42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233</v>
      </c>
      <c r="N1" s="1" t="s">
        <v>234</v>
      </c>
      <c r="O1" s="1" t="s">
        <v>235</v>
      </c>
      <c r="P1" s="1" t="s">
        <v>12</v>
      </c>
    </row>
    <row r="2" spans="1:16" s="1" customFormat="1" ht="30" x14ac:dyDescent="0.25">
      <c r="A2" s="1" t="s">
        <v>13</v>
      </c>
      <c r="B2" s="1" t="s">
        <v>14</v>
      </c>
      <c r="C2" s="1" t="s">
        <v>15</v>
      </c>
      <c r="D2" s="1" t="s">
        <v>16</v>
      </c>
      <c r="E2" s="1" t="s">
        <v>17</v>
      </c>
      <c r="F2" s="1" t="s">
        <v>18</v>
      </c>
      <c r="G2" s="1" t="s">
        <v>19</v>
      </c>
      <c r="H2" s="1" t="s">
        <v>20</v>
      </c>
      <c r="I2" s="1" t="s">
        <v>21</v>
      </c>
      <c r="J2" s="1" t="s">
        <v>22</v>
      </c>
      <c r="K2" s="1" t="s">
        <v>23</v>
      </c>
      <c r="L2" s="1" t="s">
        <v>244</v>
      </c>
      <c r="M2" t="s">
        <v>236</v>
      </c>
      <c r="N2" s="1" t="s">
        <v>242</v>
      </c>
      <c r="P2" s="1" t="s">
        <v>24</v>
      </c>
    </row>
    <row r="3" spans="1:16" s="1" customFormat="1" ht="30" x14ac:dyDescent="0.25">
      <c r="A3" s="1" t="s">
        <v>25</v>
      </c>
      <c r="B3" s="1" t="s">
        <v>14</v>
      </c>
      <c r="C3" s="1" t="s">
        <v>26</v>
      </c>
      <c r="D3" s="1" t="s">
        <v>27</v>
      </c>
      <c r="E3" s="1" t="s">
        <v>28</v>
      </c>
      <c r="F3" s="1" t="s">
        <v>29</v>
      </c>
      <c r="G3" s="1" t="s">
        <v>30</v>
      </c>
      <c r="H3" s="1" t="s">
        <v>31</v>
      </c>
      <c r="I3" s="1" t="s">
        <v>32</v>
      </c>
      <c r="J3" s="1" t="s">
        <v>22</v>
      </c>
      <c r="K3" s="1" t="s">
        <v>33</v>
      </c>
      <c r="L3" s="1" t="s">
        <v>244</v>
      </c>
      <c r="M3" t="s">
        <v>237</v>
      </c>
      <c r="N3" s="1" t="s">
        <v>243</v>
      </c>
    </row>
    <row r="4" spans="1:16" s="1" customFormat="1" ht="30" x14ac:dyDescent="0.25">
      <c r="A4" s="1" t="s">
        <v>34</v>
      </c>
      <c r="B4" s="1" t="s">
        <v>14</v>
      </c>
      <c r="C4" s="1" t="s">
        <v>35</v>
      </c>
      <c r="D4" s="1" t="s">
        <v>36</v>
      </c>
      <c r="E4" s="1" t="s">
        <v>28</v>
      </c>
      <c r="F4" s="1" t="s">
        <v>18</v>
      </c>
      <c r="G4" s="1" t="s">
        <v>37</v>
      </c>
      <c r="H4" s="1" t="s">
        <v>38</v>
      </c>
      <c r="I4" s="1" t="s">
        <v>39</v>
      </c>
      <c r="J4" s="1" t="s">
        <v>22</v>
      </c>
      <c r="K4" s="1" t="s">
        <v>33</v>
      </c>
      <c r="L4" s="1" t="s">
        <v>244</v>
      </c>
      <c r="M4" t="s">
        <v>238</v>
      </c>
      <c r="N4" s="1" t="s">
        <v>242</v>
      </c>
    </row>
    <row r="5" spans="1:16" s="1" customFormat="1" ht="30" x14ac:dyDescent="0.25">
      <c r="A5" s="1" t="s">
        <v>40</v>
      </c>
      <c r="B5" s="1" t="s">
        <v>14</v>
      </c>
      <c r="C5" s="1" t="s">
        <v>41</v>
      </c>
      <c r="D5" s="1" t="s">
        <v>42</v>
      </c>
      <c r="E5" s="1" t="s">
        <v>28</v>
      </c>
      <c r="F5" s="1" t="s">
        <v>18</v>
      </c>
      <c r="G5" s="1" t="s">
        <v>43</v>
      </c>
      <c r="H5" s="1" t="s">
        <v>44</v>
      </c>
      <c r="I5" s="1" t="s">
        <v>45</v>
      </c>
      <c r="J5" s="1" t="s">
        <v>22</v>
      </c>
      <c r="K5" s="1" t="s">
        <v>33</v>
      </c>
      <c r="L5" s="1" t="s">
        <v>244</v>
      </c>
      <c r="M5" t="s">
        <v>239</v>
      </c>
      <c r="N5" s="1" t="s">
        <v>243</v>
      </c>
      <c r="P5" s="1" t="s">
        <v>46</v>
      </c>
    </row>
    <row r="6" spans="1:16" s="1" customFormat="1" ht="30" x14ac:dyDescent="0.25">
      <c r="A6" s="1" t="s">
        <v>47</v>
      </c>
      <c r="B6" s="1" t="s">
        <v>14</v>
      </c>
      <c r="C6" s="1" t="s">
        <v>48</v>
      </c>
      <c r="D6" s="1" t="s">
        <v>49</v>
      </c>
      <c r="E6" s="1" t="s">
        <v>17</v>
      </c>
      <c r="F6" s="1" t="s">
        <v>50</v>
      </c>
      <c r="G6" s="1" t="s">
        <v>51</v>
      </c>
      <c r="H6" s="1" t="s">
        <v>52</v>
      </c>
      <c r="I6" s="1" t="s">
        <v>53</v>
      </c>
      <c r="J6" s="1" t="s">
        <v>22</v>
      </c>
      <c r="K6" s="1" t="s">
        <v>23</v>
      </c>
      <c r="L6" s="1" t="s">
        <v>244</v>
      </c>
      <c r="M6" t="s">
        <v>240</v>
      </c>
      <c r="N6" s="1" t="s">
        <v>242</v>
      </c>
    </row>
    <row r="7" spans="1:16" s="1" customFormat="1" ht="30" x14ac:dyDescent="0.25">
      <c r="A7" s="1" t="s">
        <v>54</v>
      </c>
      <c r="B7" s="1" t="s">
        <v>14</v>
      </c>
      <c r="C7" s="1" t="s">
        <v>55</v>
      </c>
      <c r="D7" s="1" t="s">
        <v>56</v>
      </c>
      <c r="E7" s="1" t="s">
        <v>17</v>
      </c>
      <c r="F7" s="1" t="s">
        <v>50</v>
      </c>
      <c r="G7" s="1" t="s">
        <v>57</v>
      </c>
      <c r="H7" s="1" t="s">
        <v>58</v>
      </c>
      <c r="I7" s="1" t="s">
        <v>59</v>
      </c>
      <c r="J7" s="1" t="s">
        <v>22</v>
      </c>
      <c r="K7" s="1" t="s">
        <v>23</v>
      </c>
      <c r="L7" s="1" t="s">
        <v>244</v>
      </c>
      <c r="M7" t="s">
        <v>241</v>
      </c>
      <c r="N7" s="1" t="s">
        <v>243</v>
      </c>
    </row>
    <row r="8" spans="1:16" s="1" customFormat="1" ht="30" x14ac:dyDescent="0.25">
      <c r="A8" s="1" t="s">
        <v>60</v>
      </c>
      <c r="B8" s="1" t="s">
        <v>14</v>
      </c>
      <c r="C8" s="1" t="s">
        <v>61</v>
      </c>
      <c r="D8" s="1" t="s">
        <v>62</v>
      </c>
      <c r="E8" s="1" t="s">
        <v>28</v>
      </c>
      <c r="F8" s="1" t="s">
        <v>63</v>
      </c>
      <c r="G8" s="1" t="s">
        <v>64</v>
      </c>
      <c r="H8" s="1" t="s">
        <v>65</v>
      </c>
      <c r="I8" s="1" t="s">
        <v>59</v>
      </c>
      <c r="J8" s="1" t="s">
        <v>22</v>
      </c>
      <c r="K8" s="1" t="s">
        <v>33</v>
      </c>
      <c r="L8" s="1" t="s">
        <v>244</v>
      </c>
      <c r="M8" t="s">
        <v>236</v>
      </c>
      <c r="N8" s="1" t="s">
        <v>242</v>
      </c>
    </row>
    <row r="9" spans="1:16" s="1" customFormat="1" x14ac:dyDescent="0.25">
      <c r="A9" s="1" t="s">
        <v>66</v>
      </c>
      <c r="B9" s="1" t="s">
        <v>14</v>
      </c>
      <c r="C9" s="1" t="s">
        <v>67</v>
      </c>
      <c r="D9" s="1" t="s">
        <v>68</v>
      </c>
      <c r="E9" s="1" t="s">
        <v>17</v>
      </c>
      <c r="F9" s="1" t="s">
        <v>69</v>
      </c>
      <c r="G9" s="1" t="s">
        <v>70</v>
      </c>
      <c r="H9" s="1" t="s">
        <v>71</v>
      </c>
      <c r="I9" s="1" t="s">
        <v>72</v>
      </c>
      <c r="J9" s="1" t="s">
        <v>22</v>
      </c>
      <c r="K9" s="1" t="s">
        <v>23</v>
      </c>
      <c r="L9" s="1" t="s">
        <v>244</v>
      </c>
      <c r="M9" t="s">
        <v>237</v>
      </c>
      <c r="N9" s="1" t="s">
        <v>243</v>
      </c>
    </row>
    <row r="10" spans="1:16" s="1" customFormat="1" x14ac:dyDescent="0.25">
      <c r="A10" s="1" t="s">
        <v>73</v>
      </c>
      <c r="B10" s="1" t="s">
        <v>14</v>
      </c>
      <c r="C10" s="1" t="s">
        <v>74</v>
      </c>
      <c r="D10" s="1" t="s">
        <v>75</v>
      </c>
      <c r="E10" s="1" t="s">
        <v>17</v>
      </c>
      <c r="F10" s="1" t="s">
        <v>76</v>
      </c>
      <c r="G10" s="1" t="s">
        <v>70</v>
      </c>
      <c r="H10" s="1" t="s">
        <v>77</v>
      </c>
      <c r="I10" s="1" t="s">
        <v>78</v>
      </c>
      <c r="J10" s="1" t="s">
        <v>22</v>
      </c>
      <c r="K10" s="1" t="s">
        <v>33</v>
      </c>
      <c r="L10" s="1" t="s">
        <v>244</v>
      </c>
      <c r="M10" t="s">
        <v>238</v>
      </c>
      <c r="N10" s="1" t="s">
        <v>242</v>
      </c>
    </row>
    <row r="11" spans="1:16" s="1" customFormat="1" ht="30" x14ac:dyDescent="0.25">
      <c r="A11" s="1" t="s">
        <v>79</v>
      </c>
      <c r="B11" s="1" t="s">
        <v>14</v>
      </c>
      <c r="C11" s="1" t="s">
        <v>80</v>
      </c>
      <c r="D11" s="1" t="s">
        <v>81</v>
      </c>
      <c r="E11" s="1" t="s">
        <v>28</v>
      </c>
      <c r="F11" s="1" t="s">
        <v>82</v>
      </c>
      <c r="G11" s="1" t="s">
        <v>70</v>
      </c>
      <c r="H11" s="1" t="s">
        <v>83</v>
      </c>
      <c r="I11" s="1" t="s">
        <v>84</v>
      </c>
      <c r="J11" s="1" t="s">
        <v>22</v>
      </c>
      <c r="K11" s="1" t="s">
        <v>33</v>
      </c>
      <c r="L11" s="1" t="s">
        <v>244</v>
      </c>
      <c r="M11" t="s">
        <v>239</v>
      </c>
      <c r="N11" s="1" t="s">
        <v>243</v>
      </c>
      <c r="P11" s="1" t="s">
        <v>85</v>
      </c>
    </row>
    <row r="12" spans="1:16" s="1" customFormat="1" x14ac:dyDescent="0.25">
      <c r="A12" s="1" t="s">
        <v>86</v>
      </c>
      <c r="B12" s="1" t="s">
        <v>87</v>
      </c>
      <c r="C12" s="1" t="s">
        <v>88</v>
      </c>
      <c r="D12" s="1" t="s">
        <v>89</v>
      </c>
      <c r="E12" s="1" t="s">
        <v>17</v>
      </c>
      <c r="F12" s="1" t="s">
        <v>69</v>
      </c>
      <c r="G12" s="1" t="s">
        <v>90</v>
      </c>
      <c r="H12" s="1" t="s">
        <v>91</v>
      </c>
      <c r="I12" s="1" t="s">
        <v>92</v>
      </c>
      <c r="J12" s="1" t="s">
        <v>22</v>
      </c>
      <c r="K12" s="1" t="s">
        <v>23</v>
      </c>
      <c r="L12" s="1" t="s">
        <v>244</v>
      </c>
      <c r="M12" t="s">
        <v>240</v>
      </c>
      <c r="N12" s="1" t="s">
        <v>242</v>
      </c>
    </row>
    <row r="13" spans="1:16" s="1" customFormat="1" ht="30" x14ac:dyDescent="0.25">
      <c r="A13" s="1" t="s">
        <v>93</v>
      </c>
      <c r="B13" s="1" t="s">
        <v>87</v>
      </c>
      <c r="C13" s="1" t="s">
        <v>94</v>
      </c>
      <c r="D13" s="1" t="s">
        <v>95</v>
      </c>
      <c r="E13" s="1" t="s">
        <v>96</v>
      </c>
      <c r="F13" s="1" t="s">
        <v>69</v>
      </c>
      <c r="G13" s="1" t="s">
        <v>97</v>
      </c>
      <c r="H13" s="1" t="s">
        <v>98</v>
      </c>
      <c r="I13" s="1" t="s">
        <v>99</v>
      </c>
      <c r="J13" s="1" t="s">
        <v>22</v>
      </c>
      <c r="K13" s="1" t="s">
        <v>33</v>
      </c>
      <c r="L13" s="1" t="s">
        <v>244</v>
      </c>
      <c r="M13" t="s">
        <v>241</v>
      </c>
      <c r="N13" s="1" t="s">
        <v>243</v>
      </c>
    </row>
    <row r="14" spans="1:16" s="1" customFormat="1" x14ac:dyDescent="0.25">
      <c r="A14" s="1" t="s">
        <v>100</v>
      </c>
      <c r="B14" s="1" t="s">
        <v>87</v>
      </c>
      <c r="C14" s="1" t="s">
        <v>101</v>
      </c>
      <c r="D14" s="1" t="s">
        <v>102</v>
      </c>
      <c r="E14" s="1" t="s">
        <v>28</v>
      </c>
      <c r="F14" s="1" t="s">
        <v>69</v>
      </c>
      <c r="G14" s="1" t="s">
        <v>103</v>
      </c>
      <c r="H14" s="1" t="s">
        <v>104</v>
      </c>
      <c r="I14" s="1" t="s">
        <v>105</v>
      </c>
      <c r="J14" s="1" t="s">
        <v>22</v>
      </c>
      <c r="K14" s="1" t="s">
        <v>33</v>
      </c>
      <c r="L14" s="1" t="s">
        <v>244</v>
      </c>
      <c r="M14" t="s">
        <v>236</v>
      </c>
      <c r="N14" s="1" t="s">
        <v>242</v>
      </c>
      <c r="P14" s="1" t="s">
        <v>106</v>
      </c>
    </row>
    <row r="15" spans="1:16" s="1" customFormat="1" x14ac:dyDescent="0.25">
      <c r="A15" s="1" t="s">
        <v>107</v>
      </c>
      <c r="B15" s="1" t="s">
        <v>108</v>
      </c>
      <c r="C15" s="1" t="s">
        <v>109</v>
      </c>
      <c r="D15" s="1" t="s">
        <v>110</v>
      </c>
      <c r="E15" s="1" t="s">
        <v>17</v>
      </c>
      <c r="F15" s="1" t="s">
        <v>111</v>
      </c>
      <c r="G15" s="1" t="s">
        <v>112</v>
      </c>
      <c r="H15" s="1" t="s">
        <v>113</v>
      </c>
      <c r="I15" s="1" t="s">
        <v>114</v>
      </c>
      <c r="J15" s="1" t="s">
        <v>22</v>
      </c>
      <c r="K15" s="1" t="s">
        <v>23</v>
      </c>
      <c r="L15" s="1" t="s">
        <v>244</v>
      </c>
      <c r="M15" t="s">
        <v>237</v>
      </c>
      <c r="N15" s="1" t="s">
        <v>243</v>
      </c>
    </row>
    <row r="16" spans="1:16" s="1" customFormat="1" x14ac:dyDescent="0.25">
      <c r="A16" s="1" t="s">
        <v>115</v>
      </c>
      <c r="B16" s="1" t="s">
        <v>108</v>
      </c>
      <c r="C16" s="1" t="s">
        <v>116</v>
      </c>
      <c r="D16" s="1" t="s">
        <v>117</v>
      </c>
      <c r="E16" s="1" t="s">
        <v>28</v>
      </c>
      <c r="F16" s="1" t="s">
        <v>111</v>
      </c>
      <c r="G16" s="1" t="s">
        <v>112</v>
      </c>
      <c r="H16" s="1" t="s">
        <v>118</v>
      </c>
      <c r="I16" s="1" t="s">
        <v>119</v>
      </c>
      <c r="J16" s="1" t="s">
        <v>22</v>
      </c>
      <c r="K16" s="1" t="s">
        <v>33</v>
      </c>
      <c r="L16" s="1" t="s">
        <v>244</v>
      </c>
      <c r="M16" t="s">
        <v>238</v>
      </c>
      <c r="N16" s="1" t="s">
        <v>242</v>
      </c>
      <c r="P16" s="1" t="s">
        <v>120</v>
      </c>
    </row>
    <row r="17" spans="1:16" s="1" customFormat="1" x14ac:dyDescent="0.25">
      <c r="A17" s="1" t="s">
        <v>121</v>
      </c>
      <c r="B17" s="1" t="s">
        <v>108</v>
      </c>
      <c r="C17" s="1" t="s">
        <v>122</v>
      </c>
      <c r="D17" s="1" t="s">
        <v>123</v>
      </c>
      <c r="E17" s="1" t="s">
        <v>17</v>
      </c>
      <c r="F17" s="1" t="s">
        <v>124</v>
      </c>
      <c r="G17" s="1" t="s">
        <v>125</v>
      </c>
      <c r="H17" s="1" t="s">
        <v>126</v>
      </c>
      <c r="I17" s="1" t="s">
        <v>127</v>
      </c>
      <c r="J17" s="1" t="s">
        <v>22</v>
      </c>
      <c r="K17" s="1" t="s">
        <v>23</v>
      </c>
      <c r="L17" s="1" t="s">
        <v>244</v>
      </c>
      <c r="M17" t="s">
        <v>239</v>
      </c>
      <c r="N17" s="1" t="s">
        <v>243</v>
      </c>
    </row>
    <row r="18" spans="1:16" s="1" customFormat="1" x14ac:dyDescent="0.25">
      <c r="A18" s="1" t="s">
        <v>128</v>
      </c>
      <c r="B18" s="1" t="s">
        <v>108</v>
      </c>
      <c r="C18" s="1" t="s">
        <v>129</v>
      </c>
      <c r="D18" s="1" t="s">
        <v>130</v>
      </c>
      <c r="E18" s="1" t="s">
        <v>17</v>
      </c>
      <c r="F18" s="1" t="s">
        <v>124</v>
      </c>
      <c r="G18" s="1" t="s">
        <v>112</v>
      </c>
      <c r="H18" s="1" t="s">
        <v>131</v>
      </c>
      <c r="I18" s="1" t="s">
        <v>132</v>
      </c>
      <c r="J18" s="1" t="s">
        <v>22</v>
      </c>
      <c r="K18" s="1" t="s">
        <v>23</v>
      </c>
      <c r="L18" s="1" t="s">
        <v>244</v>
      </c>
      <c r="M18" t="s">
        <v>240</v>
      </c>
      <c r="N18" s="1" t="s">
        <v>242</v>
      </c>
    </row>
    <row r="19" spans="1:16" s="1" customFormat="1" ht="30" x14ac:dyDescent="0.25">
      <c r="A19" s="1" t="s">
        <v>133</v>
      </c>
      <c r="B19" s="1" t="s">
        <v>108</v>
      </c>
      <c r="C19" s="1" t="s">
        <v>134</v>
      </c>
      <c r="D19" s="1" t="s">
        <v>135</v>
      </c>
      <c r="E19" s="1" t="s">
        <v>28</v>
      </c>
      <c r="F19" s="1" t="s">
        <v>124</v>
      </c>
      <c r="G19" s="1" t="s">
        <v>112</v>
      </c>
      <c r="H19" s="1" t="s">
        <v>136</v>
      </c>
      <c r="I19" s="1" t="s">
        <v>137</v>
      </c>
      <c r="J19" s="1" t="s">
        <v>22</v>
      </c>
      <c r="K19" s="1" t="s">
        <v>33</v>
      </c>
      <c r="L19" s="1" t="s">
        <v>244</v>
      </c>
      <c r="M19" t="s">
        <v>241</v>
      </c>
      <c r="N19" s="1" t="s">
        <v>243</v>
      </c>
    </row>
    <row r="20" spans="1:16" s="1" customFormat="1" x14ac:dyDescent="0.25">
      <c r="A20" s="1" t="s">
        <v>138</v>
      </c>
      <c r="B20" s="1" t="s">
        <v>108</v>
      </c>
      <c r="C20" s="1" t="s">
        <v>139</v>
      </c>
      <c r="D20" s="1" t="s">
        <v>140</v>
      </c>
      <c r="E20" s="1" t="s">
        <v>28</v>
      </c>
      <c r="F20" s="1" t="s">
        <v>141</v>
      </c>
      <c r="G20" s="1" t="s">
        <v>70</v>
      </c>
      <c r="H20" s="1" t="s">
        <v>142</v>
      </c>
      <c r="I20" s="1" t="s">
        <v>143</v>
      </c>
      <c r="J20" s="1" t="s">
        <v>22</v>
      </c>
      <c r="K20" s="1" t="s">
        <v>33</v>
      </c>
      <c r="L20" s="1" t="s">
        <v>244</v>
      </c>
      <c r="M20" t="s">
        <v>236</v>
      </c>
      <c r="N20" s="1" t="s">
        <v>242</v>
      </c>
    </row>
    <row r="21" spans="1:16" s="1" customFormat="1" ht="30" x14ac:dyDescent="0.25">
      <c r="A21" s="1" t="s">
        <v>144</v>
      </c>
      <c r="B21" s="1" t="s">
        <v>145</v>
      </c>
      <c r="C21" s="1" t="s">
        <v>146</v>
      </c>
      <c r="D21" s="1" t="s">
        <v>147</v>
      </c>
      <c r="E21" s="1" t="s">
        <v>17</v>
      </c>
      <c r="F21" s="1" t="s">
        <v>148</v>
      </c>
      <c r="G21" s="1" t="s">
        <v>149</v>
      </c>
      <c r="H21" s="1" t="s">
        <v>150</v>
      </c>
      <c r="I21" s="1" t="s">
        <v>151</v>
      </c>
      <c r="J21" s="1" t="s">
        <v>22</v>
      </c>
      <c r="K21" s="1" t="s">
        <v>23</v>
      </c>
      <c r="L21" s="1" t="s">
        <v>245</v>
      </c>
      <c r="M21" t="s">
        <v>237</v>
      </c>
      <c r="N21" s="1" t="s">
        <v>243</v>
      </c>
      <c r="O21" s="1" t="s">
        <v>246</v>
      </c>
      <c r="P21" s="1" t="s">
        <v>247</v>
      </c>
    </row>
    <row r="22" spans="1:16" s="1" customFormat="1" x14ac:dyDescent="0.25">
      <c r="A22" s="1" t="s">
        <v>152</v>
      </c>
      <c r="B22" s="1" t="s">
        <v>145</v>
      </c>
      <c r="C22" s="1" t="s">
        <v>153</v>
      </c>
      <c r="D22" s="1" t="s">
        <v>154</v>
      </c>
      <c r="E22" s="1" t="s">
        <v>17</v>
      </c>
      <c r="F22" s="1" t="s">
        <v>141</v>
      </c>
      <c r="G22" s="1" t="s">
        <v>70</v>
      </c>
      <c r="H22" s="1" t="s">
        <v>155</v>
      </c>
      <c r="I22" s="1" t="s">
        <v>156</v>
      </c>
      <c r="J22" s="1" t="s">
        <v>22</v>
      </c>
      <c r="K22" s="1" t="s">
        <v>23</v>
      </c>
      <c r="L22" s="1" t="s">
        <v>244</v>
      </c>
      <c r="M22" t="s">
        <v>238</v>
      </c>
      <c r="N22" s="1" t="s">
        <v>242</v>
      </c>
    </row>
    <row r="23" spans="1:16" s="1" customFormat="1" ht="30" x14ac:dyDescent="0.25">
      <c r="A23" s="1" t="s">
        <v>157</v>
      </c>
      <c r="B23" s="1" t="s">
        <v>145</v>
      </c>
      <c r="C23" s="1" t="s">
        <v>158</v>
      </c>
      <c r="D23" s="1" t="s">
        <v>159</v>
      </c>
      <c r="E23" s="1" t="s">
        <v>28</v>
      </c>
      <c r="F23" s="1" t="s">
        <v>148</v>
      </c>
      <c r="G23" s="1" t="s">
        <v>160</v>
      </c>
      <c r="H23" s="1" t="s">
        <v>161</v>
      </c>
      <c r="I23" s="1" t="s">
        <v>162</v>
      </c>
      <c r="J23" s="1" t="s">
        <v>22</v>
      </c>
      <c r="K23" s="1" t="s">
        <v>33</v>
      </c>
      <c r="L23" s="1" t="s">
        <v>244</v>
      </c>
      <c r="M23"/>
      <c r="N23" s="1" t="s">
        <v>243</v>
      </c>
    </row>
    <row r="24" spans="1:16" s="1" customFormat="1" ht="30" x14ac:dyDescent="0.25">
      <c r="A24" s="1" t="s">
        <v>163</v>
      </c>
      <c r="B24" s="1" t="s">
        <v>145</v>
      </c>
      <c r="C24" s="1" t="s">
        <v>164</v>
      </c>
      <c r="D24" s="1" t="s">
        <v>165</v>
      </c>
      <c r="E24" s="1" t="s">
        <v>28</v>
      </c>
      <c r="F24" s="1" t="s">
        <v>148</v>
      </c>
      <c r="G24" s="1" t="s">
        <v>112</v>
      </c>
      <c r="H24" s="1" t="s">
        <v>166</v>
      </c>
      <c r="I24" s="1" t="s">
        <v>167</v>
      </c>
      <c r="J24" s="1" t="s">
        <v>22</v>
      </c>
      <c r="K24" s="1" t="s">
        <v>33</v>
      </c>
      <c r="L24" s="1" t="s">
        <v>244</v>
      </c>
      <c r="M24" t="s">
        <v>240</v>
      </c>
      <c r="N24" s="1" t="s">
        <v>242</v>
      </c>
    </row>
    <row r="25" spans="1:16" s="1" customFormat="1" ht="30" x14ac:dyDescent="0.25">
      <c r="A25" s="1" t="s">
        <v>168</v>
      </c>
      <c r="B25" s="1" t="s">
        <v>169</v>
      </c>
      <c r="C25" s="1" t="s">
        <v>170</v>
      </c>
      <c r="D25" s="1" t="s">
        <v>171</v>
      </c>
      <c r="E25" s="1" t="s">
        <v>17</v>
      </c>
      <c r="F25" s="1" t="s">
        <v>172</v>
      </c>
      <c r="G25" s="1" t="s">
        <v>173</v>
      </c>
      <c r="H25" s="1" t="s">
        <v>174</v>
      </c>
      <c r="I25" s="1" t="s">
        <v>175</v>
      </c>
      <c r="J25" s="1" t="s">
        <v>22</v>
      </c>
      <c r="K25" s="1" t="s">
        <v>23</v>
      </c>
      <c r="L25" s="1" t="s">
        <v>249</v>
      </c>
      <c r="M25" t="s">
        <v>241</v>
      </c>
      <c r="N25" s="1" t="s">
        <v>243</v>
      </c>
      <c r="O25" s="1" t="s">
        <v>250</v>
      </c>
      <c r="P25" s="1" t="s">
        <v>248</v>
      </c>
    </row>
    <row r="26" spans="1:16" s="1" customFormat="1" x14ac:dyDescent="0.25">
      <c r="A26" s="1" t="s">
        <v>176</v>
      </c>
      <c r="B26" s="1" t="s">
        <v>169</v>
      </c>
      <c r="C26" s="1" t="s">
        <v>177</v>
      </c>
      <c r="D26" s="1" t="s">
        <v>178</v>
      </c>
      <c r="E26" s="1" t="s">
        <v>28</v>
      </c>
      <c r="F26" s="1" t="s">
        <v>179</v>
      </c>
      <c r="G26" s="1" t="s">
        <v>70</v>
      </c>
      <c r="H26" s="1" t="s">
        <v>180</v>
      </c>
      <c r="I26" s="1" t="s">
        <v>99</v>
      </c>
      <c r="J26" s="1" t="s">
        <v>22</v>
      </c>
      <c r="K26" s="1" t="s">
        <v>33</v>
      </c>
      <c r="L26" s="1" t="s">
        <v>244</v>
      </c>
      <c r="M26" t="s">
        <v>236</v>
      </c>
      <c r="N26" s="1" t="s">
        <v>242</v>
      </c>
    </row>
    <row r="27" spans="1:16" s="1" customFormat="1" ht="30" x14ac:dyDescent="0.25">
      <c r="A27" s="1" t="s">
        <v>181</v>
      </c>
      <c r="B27" s="1" t="s">
        <v>169</v>
      </c>
      <c r="C27" s="1" t="s">
        <v>182</v>
      </c>
      <c r="D27" s="1" t="s">
        <v>183</v>
      </c>
      <c r="E27" s="1" t="s">
        <v>17</v>
      </c>
      <c r="F27" s="1" t="s">
        <v>184</v>
      </c>
      <c r="G27" s="1" t="s">
        <v>185</v>
      </c>
      <c r="H27" s="1" t="s">
        <v>186</v>
      </c>
      <c r="I27" s="1" t="s">
        <v>187</v>
      </c>
      <c r="J27" s="1" t="s">
        <v>22</v>
      </c>
      <c r="K27" s="1" t="s">
        <v>33</v>
      </c>
      <c r="L27" s="1" t="s">
        <v>244</v>
      </c>
      <c r="M27" t="s">
        <v>237</v>
      </c>
      <c r="N27" s="1" t="s">
        <v>243</v>
      </c>
    </row>
    <row r="28" spans="1:16" s="1" customFormat="1" x14ac:dyDescent="0.25">
      <c r="A28" s="1" t="s">
        <v>188</v>
      </c>
      <c r="B28" s="1" t="s">
        <v>169</v>
      </c>
      <c r="C28" s="1" t="s">
        <v>189</v>
      </c>
      <c r="D28" s="1" t="s">
        <v>190</v>
      </c>
      <c r="E28" s="1" t="s">
        <v>17</v>
      </c>
      <c r="F28" s="1" t="s">
        <v>76</v>
      </c>
      <c r="G28" s="1" t="s">
        <v>70</v>
      </c>
      <c r="H28" s="1" t="s">
        <v>191</v>
      </c>
      <c r="I28" s="1" t="s">
        <v>192</v>
      </c>
      <c r="J28" s="1" t="s">
        <v>22</v>
      </c>
      <c r="K28" s="1" t="s">
        <v>33</v>
      </c>
      <c r="L28" s="1" t="s">
        <v>244</v>
      </c>
      <c r="M28" t="s">
        <v>238</v>
      </c>
      <c r="N28" s="1" t="s">
        <v>242</v>
      </c>
    </row>
  </sheetData>
  <conditionalFormatting sqref="A2:P28">
    <cfRule type="cellIs" dxfId="2" priority="1" operator="equal">
      <formula>"Blocked"</formula>
    </cfRule>
    <cfRule type="cellIs" dxfId="1" priority="2" operator="equal">
      <formula>"Failed"</formula>
    </cfRule>
    <cfRule type="cellIs" dxfId="0" priority="3" operator="equal">
      <formula>"Passed"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5D786-CEB0-430A-896D-496213B63F35}">
  <sheetPr>
    <tabColor theme="8"/>
  </sheetPr>
  <dimension ref="A1:I14"/>
  <sheetViews>
    <sheetView workbookViewId="0">
      <selection activeCell="H23" sqref="H23"/>
    </sheetView>
  </sheetViews>
  <sheetFormatPr defaultRowHeight="15" x14ac:dyDescent="0.25"/>
  <cols>
    <col min="3" max="3" width="10" customWidth="1"/>
    <col min="4" max="4" width="13.5703125" customWidth="1"/>
    <col min="5" max="5" width="15.85546875" customWidth="1"/>
    <col min="6" max="6" width="9.7109375" customWidth="1"/>
    <col min="7" max="7" width="16.5703125" customWidth="1"/>
    <col min="8" max="8" width="23.140625" customWidth="1"/>
    <col min="9" max="9" width="11" customWidth="1"/>
  </cols>
  <sheetData>
    <row r="1" spans="1:9" x14ac:dyDescent="0.25">
      <c r="A1" t="s">
        <v>193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9</v>
      </c>
      <c r="H1" t="s">
        <v>10</v>
      </c>
      <c r="I1" t="s">
        <v>195</v>
      </c>
    </row>
    <row r="2" spans="1:9" x14ac:dyDescent="0.25">
      <c r="A2" t="s">
        <v>194</v>
      </c>
      <c r="B2" t="s">
        <v>17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22</v>
      </c>
      <c r="I2" t="s">
        <v>23</v>
      </c>
    </row>
    <row r="3" spans="1:9" x14ac:dyDescent="0.25">
      <c r="A3" t="s">
        <v>194</v>
      </c>
      <c r="B3" t="s">
        <v>17</v>
      </c>
      <c r="C3" t="s">
        <v>47</v>
      </c>
      <c r="D3" t="s">
        <v>14</v>
      </c>
      <c r="E3" t="s">
        <v>48</v>
      </c>
      <c r="F3" t="s">
        <v>49</v>
      </c>
      <c r="G3" t="s">
        <v>17</v>
      </c>
      <c r="H3" t="s">
        <v>22</v>
      </c>
      <c r="I3" t="s">
        <v>23</v>
      </c>
    </row>
    <row r="4" spans="1:9" x14ac:dyDescent="0.25">
      <c r="A4" t="s">
        <v>194</v>
      </c>
      <c r="B4" t="s">
        <v>17</v>
      </c>
      <c r="C4" t="s">
        <v>54</v>
      </c>
      <c r="D4" t="s">
        <v>14</v>
      </c>
      <c r="E4" t="s">
        <v>55</v>
      </c>
      <c r="F4" t="s">
        <v>56</v>
      </c>
      <c r="G4" t="s">
        <v>17</v>
      </c>
      <c r="H4" t="s">
        <v>22</v>
      </c>
      <c r="I4" t="s">
        <v>23</v>
      </c>
    </row>
    <row r="5" spans="1:9" x14ac:dyDescent="0.25">
      <c r="A5" t="s">
        <v>194</v>
      </c>
      <c r="B5" t="s">
        <v>17</v>
      </c>
      <c r="C5" t="s">
        <v>66</v>
      </c>
      <c r="D5" t="s">
        <v>14</v>
      </c>
      <c r="E5" t="s">
        <v>67</v>
      </c>
      <c r="F5" t="s">
        <v>68</v>
      </c>
      <c r="G5" t="s">
        <v>17</v>
      </c>
      <c r="H5" t="s">
        <v>22</v>
      </c>
      <c r="I5" t="s">
        <v>23</v>
      </c>
    </row>
    <row r="6" spans="1:9" x14ac:dyDescent="0.25">
      <c r="A6" t="s">
        <v>194</v>
      </c>
      <c r="B6" t="s">
        <v>17</v>
      </c>
      <c r="C6" t="s">
        <v>73</v>
      </c>
      <c r="D6" t="s">
        <v>14</v>
      </c>
      <c r="E6" t="s">
        <v>74</v>
      </c>
      <c r="F6" t="s">
        <v>75</v>
      </c>
      <c r="G6" t="s">
        <v>17</v>
      </c>
      <c r="H6" t="s">
        <v>22</v>
      </c>
      <c r="I6" t="s">
        <v>33</v>
      </c>
    </row>
    <row r="7" spans="1:9" x14ac:dyDescent="0.25">
      <c r="A7" t="s">
        <v>194</v>
      </c>
      <c r="B7" t="s">
        <v>17</v>
      </c>
      <c r="C7" t="s">
        <v>86</v>
      </c>
      <c r="D7" t="s">
        <v>87</v>
      </c>
      <c r="E7" t="s">
        <v>88</v>
      </c>
      <c r="F7" t="s">
        <v>89</v>
      </c>
      <c r="G7" t="s">
        <v>17</v>
      </c>
      <c r="H7" t="s">
        <v>22</v>
      </c>
      <c r="I7" t="s">
        <v>23</v>
      </c>
    </row>
    <row r="8" spans="1:9" x14ac:dyDescent="0.25">
      <c r="A8" t="s">
        <v>194</v>
      </c>
      <c r="B8" t="s">
        <v>17</v>
      </c>
      <c r="C8" t="s">
        <v>107</v>
      </c>
      <c r="D8" t="s">
        <v>108</v>
      </c>
      <c r="E8" t="s">
        <v>109</v>
      </c>
      <c r="F8" t="s">
        <v>110</v>
      </c>
      <c r="G8" t="s">
        <v>17</v>
      </c>
      <c r="H8" t="s">
        <v>22</v>
      </c>
      <c r="I8" t="s">
        <v>23</v>
      </c>
    </row>
    <row r="9" spans="1:9" x14ac:dyDescent="0.25">
      <c r="A9" t="s">
        <v>194</v>
      </c>
      <c r="B9" t="s">
        <v>17</v>
      </c>
      <c r="C9" t="s">
        <v>121</v>
      </c>
      <c r="D9" t="s">
        <v>108</v>
      </c>
      <c r="E9" t="s">
        <v>122</v>
      </c>
      <c r="F9" t="s">
        <v>123</v>
      </c>
      <c r="G9" t="s">
        <v>17</v>
      </c>
      <c r="H9" t="s">
        <v>22</v>
      </c>
      <c r="I9" t="s">
        <v>23</v>
      </c>
    </row>
    <row r="10" spans="1:9" x14ac:dyDescent="0.25">
      <c r="A10" t="s">
        <v>194</v>
      </c>
      <c r="B10" t="s">
        <v>17</v>
      </c>
      <c r="C10" t="s">
        <v>128</v>
      </c>
      <c r="D10" t="s">
        <v>108</v>
      </c>
      <c r="E10" t="s">
        <v>129</v>
      </c>
      <c r="F10" t="s">
        <v>130</v>
      </c>
      <c r="G10" t="s">
        <v>17</v>
      </c>
      <c r="H10" t="s">
        <v>22</v>
      </c>
      <c r="I10" t="s">
        <v>23</v>
      </c>
    </row>
    <row r="11" spans="1:9" x14ac:dyDescent="0.25">
      <c r="A11" t="s">
        <v>194</v>
      </c>
      <c r="B11" t="s">
        <v>17</v>
      </c>
      <c r="C11" t="s">
        <v>144</v>
      </c>
      <c r="D11" t="s">
        <v>145</v>
      </c>
      <c r="E11" t="s">
        <v>146</v>
      </c>
      <c r="F11" t="s">
        <v>147</v>
      </c>
      <c r="G11" t="s">
        <v>17</v>
      </c>
      <c r="H11" t="s">
        <v>22</v>
      </c>
      <c r="I11" t="s">
        <v>23</v>
      </c>
    </row>
    <row r="12" spans="1:9" x14ac:dyDescent="0.25">
      <c r="A12" t="s">
        <v>194</v>
      </c>
      <c r="B12" t="s">
        <v>17</v>
      </c>
      <c r="C12" t="s">
        <v>152</v>
      </c>
      <c r="D12" t="s">
        <v>145</v>
      </c>
      <c r="E12" t="s">
        <v>153</v>
      </c>
      <c r="F12" t="s">
        <v>154</v>
      </c>
      <c r="G12" t="s">
        <v>17</v>
      </c>
      <c r="H12" t="s">
        <v>22</v>
      </c>
      <c r="I12" t="s">
        <v>23</v>
      </c>
    </row>
    <row r="13" spans="1:9" x14ac:dyDescent="0.25">
      <c r="A13" t="s">
        <v>194</v>
      </c>
      <c r="B13" t="s">
        <v>17</v>
      </c>
      <c r="C13" t="s">
        <v>168</v>
      </c>
      <c r="D13" t="s">
        <v>169</v>
      </c>
      <c r="E13" t="s">
        <v>170</v>
      </c>
      <c r="F13" t="s">
        <v>171</v>
      </c>
      <c r="G13" t="s">
        <v>17</v>
      </c>
      <c r="H13" t="s">
        <v>22</v>
      </c>
      <c r="I13" t="s">
        <v>23</v>
      </c>
    </row>
    <row r="14" spans="1:9" x14ac:dyDescent="0.25">
      <c r="A14" t="s">
        <v>194</v>
      </c>
      <c r="B14" t="s">
        <v>17</v>
      </c>
      <c r="C14" t="s">
        <v>188</v>
      </c>
      <c r="D14" t="s">
        <v>169</v>
      </c>
      <c r="E14" t="s">
        <v>189</v>
      </c>
      <c r="F14" t="s">
        <v>190</v>
      </c>
      <c r="G14" t="s">
        <v>17</v>
      </c>
      <c r="H14" t="s">
        <v>22</v>
      </c>
      <c r="I14" t="s">
        <v>33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12170-04AC-47DD-859E-01DCC6688529}">
  <sheetPr>
    <tabColor theme="9"/>
  </sheetPr>
  <dimension ref="A1:I27"/>
  <sheetViews>
    <sheetView workbookViewId="0">
      <selection activeCell="K18" sqref="K18"/>
    </sheetView>
  </sheetViews>
  <sheetFormatPr defaultRowHeight="15" x14ac:dyDescent="0.25"/>
  <cols>
    <col min="3" max="3" width="10" customWidth="1"/>
    <col min="4" max="4" width="13.5703125" customWidth="1"/>
    <col min="5" max="5" width="15.85546875" customWidth="1"/>
    <col min="6" max="6" width="9.7109375" customWidth="1"/>
    <col min="7" max="7" width="16.5703125" customWidth="1"/>
    <col min="8" max="8" width="23.140625" customWidth="1"/>
    <col min="9" max="9" width="11" customWidth="1"/>
  </cols>
  <sheetData>
    <row r="1" spans="1:9" x14ac:dyDescent="0.25">
      <c r="A1" t="s">
        <v>193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9</v>
      </c>
      <c r="H1" t="s">
        <v>10</v>
      </c>
      <c r="I1" t="s">
        <v>195</v>
      </c>
    </row>
    <row r="2" spans="1:9" x14ac:dyDescent="0.25">
      <c r="A2" t="s">
        <v>196</v>
      </c>
      <c r="B2" t="s">
        <v>197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22</v>
      </c>
      <c r="I2" t="s">
        <v>23</v>
      </c>
    </row>
    <row r="3" spans="1:9" x14ac:dyDescent="0.25">
      <c r="A3" t="s">
        <v>196</v>
      </c>
      <c r="B3" t="s">
        <v>197</v>
      </c>
      <c r="C3" t="s">
        <v>25</v>
      </c>
      <c r="D3" t="s">
        <v>14</v>
      </c>
      <c r="E3" t="s">
        <v>26</v>
      </c>
      <c r="F3" t="s">
        <v>27</v>
      </c>
      <c r="G3" t="s">
        <v>28</v>
      </c>
      <c r="H3" t="s">
        <v>22</v>
      </c>
      <c r="I3" t="s">
        <v>33</v>
      </c>
    </row>
    <row r="4" spans="1:9" x14ac:dyDescent="0.25">
      <c r="A4" t="s">
        <v>196</v>
      </c>
      <c r="B4" t="s">
        <v>197</v>
      </c>
      <c r="C4" t="s">
        <v>34</v>
      </c>
      <c r="D4" t="s">
        <v>14</v>
      </c>
      <c r="E4" t="s">
        <v>35</v>
      </c>
      <c r="F4" t="s">
        <v>36</v>
      </c>
      <c r="G4" t="s">
        <v>28</v>
      </c>
      <c r="H4" t="s">
        <v>22</v>
      </c>
      <c r="I4" t="s">
        <v>33</v>
      </c>
    </row>
    <row r="5" spans="1:9" x14ac:dyDescent="0.25">
      <c r="A5" t="s">
        <v>196</v>
      </c>
      <c r="B5" t="s">
        <v>197</v>
      </c>
      <c r="C5" t="s">
        <v>40</v>
      </c>
      <c r="D5" t="s">
        <v>14</v>
      </c>
      <c r="E5" t="s">
        <v>41</v>
      </c>
      <c r="F5" t="s">
        <v>42</v>
      </c>
      <c r="G5" t="s">
        <v>28</v>
      </c>
      <c r="H5" t="s">
        <v>22</v>
      </c>
      <c r="I5" t="s">
        <v>33</v>
      </c>
    </row>
    <row r="6" spans="1:9" x14ac:dyDescent="0.25">
      <c r="A6" t="s">
        <v>196</v>
      </c>
      <c r="B6" t="s">
        <v>197</v>
      </c>
      <c r="C6" t="s">
        <v>47</v>
      </c>
      <c r="D6" t="s">
        <v>14</v>
      </c>
      <c r="E6" t="s">
        <v>48</v>
      </c>
      <c r="F6" t="s">
        <v>49</v>
      </c>
      <c r="G6" t="s">
        <v>17</v>
      </c>
      <c r="H6" t="s">
        <v>22</v>
      </c>
      <c r="I6" t="s">
        <v>23</v>
      </c>
    </row>
    <row r="7" spans="1:9" x14ac:dyDescent="0.25">
      <c r="A7" t="s">
        <v>196</v>
      </c>
      <c r="B7" t="s">
        <v>197</v>
      </c>
      <c r="C7" t="s">
        <v>54</v>
      </c>
      <c r="D7" t="s">
        <v>14</v>
      </c>
      <c r="E7" t="s">
        <v>55</v>
      </c>
      <c r="F7" t="s">
        <v>56</v>
      </c>
      <c r="G7" t="s">
        <v>17</v>
      </c>
      <c r="H7" t="s">
        <v>22</v>
      </c>
      <c r="I7" t="s">
        <v>23</v>
      </c>
    </row>
    <row r="8" spans="1:9" x14ac:dyDescent="0.25">
      <c r="A8" t="s">
        <v>196</v>
      </c>
      <c r="B8" t="s">
        <v>197</v>
      </c>
      <c r="C8" t="s">
        <v>60</v>
      </c>
      <c r="D8" t="s">
        <v>14</v>
      </c>
      <c r="E8" t="s">
        <v>61</v>
      </c>
      <c r="F8" t="s">
        <v>62</v>
      </c>
      <c r="G8" t="s">
        <v>28</v>
      </c>
      <c r="H8" t="s">
        <v>22</v>
      </c>
      <c r="I8" t="s">
        <v>33</v>
      </c>
    </row>
    <row r="9" spans="1:9" x14ac:dyDescent="0.25">
      <c r="A9" t="s">
        <v>196</v>
      </c>
      <c r="B9" t="s">
        <v>197</v>
      </c>
      <c r="C9" t="s">
        <v>66</v>
      </c>
      <c r="D9" t="s">
        <v>14</v>
      </c>
      <c r="E9" t="s">
        <v>67</v>
      </c>
      <c r="F9" t="s">
        <v>68</v>
      </c>
      <c r="G9" t="s">
        <v>17</v>
      </c>
      <c r="H9" t="s">
        <v>22</v>
      </c>
      <c r="I9" t="s">
        <v>23</v>
      </c>
    </row>
    <row r="10" spans="1:9" x14ac:dyDescent="0.25">
      <c r="A10" t="s">
        <v>196</v>
      </c>
      <c r="B10" t="s">
        <v>197</v>
      </c>
      <c r="C10" t="s">
        <v>73</v>
      </c>
      <c r="D10" t="s">
        <v>14</v>
      </c>
      <c r="E10" t="s">
        <v>74</v>
      </c>
      <c r="F10" t="s">
        <v>75</v>
      </c>
      <c r="G10" t="s">
        <v>17</v>
      </c>
      <c r="H10" t="s">
        <v>22</v>
      </c>
      <c r="I10" t="s">
        <v>33</v>
      </c>
    </row>
    <row r="11" spans="1:9" x14ac:dyDescent="0.25">
      <c r="A11" t="s">
        <v>196</v>
      </c>
      <c r="B11" t="s">
        <v>197</v>
      </c>
      <c r="C11" t="s">
        <v>79</v>
      </c>
      <c r="D11" t="s">
        <v>14</v>
      </c>
      <c r="E11" t="s">
        <v>80</v>
      </c>
      <c r="F11" t="s">
        <v>81</v>
      </c>
      <c r="G11" t="s">
        <v>28</v>
      </c>
      <c r="H11" t="s">
        <v>22</v>
      </c>
      <c r="I11" t="s">
        <v>33</v>
      </c>
    </row>
    <row r="12" spans="1:9" x14ac:dyDescent="0.25">
      <c r="A12" t="s">
        <v>196</v>
      </c>
      <c r="B12" t="s">
        <v>197</v>
      </c>
      <c r="C12" t="s">
        <v>86</v>
      </c>
      <c r="D12" t="s">
        <v>87</v>
      </c>
      <c r="E12" t="s">
        <v>88</v>
      </c>
      <c r="F12" t="s">
        <v>89</v>
      </c>
      <c r="G12" t="s">
        <v>17</v>
      </c>
      <c r="H12" t="s">
        <v>22</v>
      </c>
      <c r="I12" t="s">
        <v>23</v>
      </c>
    </row>
    <row r="13" spans="1:9" x14ac:dyDescent="0.25">
      <c r="A13" t="s">
        <v>196</v>
      </c>
      <c r="B13" t="s">
        <v>197</v>
      </c>
      <c r="C13" t="s">
        <v>100</v>
      </c>
      <c r="D13" t="s">
        <v>87</v>
      </c>
      <c r="E13" t="s">
        <v>101</v>
      </c>
      <c r="F13" t="s">
        <v>102</v>
      </c>
      <c r="G13" t="s">
        <v>28</v>
      </c>
      <c r="H13" t="s">
        <v>22</v>
      </c>
      <c r="I13" t="s">
        <v>33</v>
      </c>
    </row>
    <row r="14" spans="1:9" x14ac:dyDescent="0.25">
      <c r="A14" t="s">
        <v>196</v>
      </c>
      <c r="B14" t="s">
        <v>197</v>
      </c>
      <c r="C14" t="s">
        <v>107</v>
      </c>
      <c r="D14" t="s">
        <v>108</v>
      </c>
      <c r="E14" t="s">
        <v>109</v>
      </c>
      <c r="F14" t="s">
        <v>110</v>
      </c>
      <c r="G14" t="s">
        <v>17</v>
      </c>
      <c r="H14" t="s">
        <v>22</v>
      </c>
      <c r="I14" t="s">
        <v>23</v>
      </c>
    </row>
    <row r="15" spans="1:9" x14ac:dyDescent="0.25">
      <c r="A15" t="s">
        <v>196</v>
      </c>
      <c r="B15" t="s">
        <v>197</v>
      </c>
      <c r="C15" t="s">
        <v>115</v>
      </c>
      <c r="D15" t="s">
        <v>108</v>
      </c>
      <c r="E15" t="s">
        <v>116</v>
      </c>
      <c r="F15" t="s">
        <v>117</v>
      </c>
      <c r="G15" t="s">
        <v>28</v>
      </c>
      <c r="H15" t="s">
        <v>22</v>
      </c>
      <c r="I15" t="s">
        <v>33</v>
      </c>
    </row>
    <row r="16" spans="1:9" x14ac:dyDescent="0.25">
      <c r="A16" t="s">
        <v>196</v>
      </c>
      <c r="B16" t="s">
        <v>197</v>
      </c>
      <c r="C16" t="s">
        <v>121</v>
      </c>
      <c r="D16" t="s">
        <v>108</v>
      </c>
      <c r="E16" t="s">
        <v>122</v>
      </c>
      <c r="F16" t="s">
        <v>123</v>
      </c>
      <c r="G16" t="s">
        <v>17</v>
      </c>
      <c r="H16" t="s">
        <v>22</v>
      </c>
      <c r="I16" t="s">
        <v>23</v>
      </c>
    </row>
    <row r="17" spans="1:9" x14ac:dyDescent="0.25">
      <c r="A17" t="s">
        <v>196</v>
      </c>
      <c r="B17" t="s">
        <v>197</v>
      </c>
      <c r="C17" t="s">
        <v>128</v>
      </c>
      <c r="D17" t="s">
        <v>108</v>
      </c>
      <c r="E17" t="s">
        <v>129</v>
      </c>
      <c r="F17" t="s">
        <v>130</v>
      </c>
      <c r="G17" t="s">
        <v>17</v>
      </c>
      <c r="H17" t="s">
        <v>22</v>
      </c>
      <c r="I17" t="s">
        <v>23</v>
      </c>
    </row>
    <row r="18" spans="1:9" x14ac:dyDescent="0.25">
      <c r="A18" t="s">
        <v>196</v>
      </c>
      <c r="B18" t="s">
        <v>197</v>
      </c>
      <c r="C18" t="s">
        <v>133</v>
      </c>
      <c r="D18" t="s">
        <v>108</v>
      </c>
      <c r="E18" t="s">
        <v>134</v>
      </c>
      <c r="F18" t="s">
        <v>135</v>
      </c>
      <c r="G18" t="s">
        <v>28</v>
      </c>
      <c r="H18" t="s">
        <v>22</v>
      </c>
      <c r="I18" t="s">
        <v>33</v>
      </c>
    </row>
    <row r="19" spans="1:9" x14ac:dyDescent="0.25">
      <c r="A19" t="s">
        <v>196</v>
      </c>
      <c r="B19" t="s">
        <v>197</v>
      </c>
      <c r="C19" t="s">
        <v>138</v>
      </c>
      <c r="D19" t="s">
        <v>108</v>
      </c>
      <c r="E19" t="s">
        <v>139</v>
      </c>
      <c r="F19" t="s">
        <v>140</v>
      </c>
      <c r="G19" t="s">
        <v>28</v>
      </c>
      <c r="H19" t="s">
        <v>22</v>
      </c>
      <c r="I19" t="s">
        <v>33</v>
      </c>
    </row>
    <row r="20" spans="1:9" x14ac:dyDescent="0.25">
      <c r="A20" t="s">
        <v>196</v>
      </c>
      <c r="B20" t="s">
        <v>197</v>
      </c>
      <c r="C20" t="s">
        <v>144</v>
      </c>
      <c r="D20" t="s">
        <v>145</v>
      </c>
      <c r="E20" t="s">
        <v>146</v>
      </c>
      <c r="F20" t="s">
        <v>147</v>
      </c>
      <c r="G20" t="s">
        <v>17</v>
      </c>
      <c r="H20" t="s">
        <v>22</v>
      </c>
      <c r="I20" t="s">
        <v>23</v>
      </c>
    </row>
    <row r="21" spans="1:9" x14ac:dyDescent="0.25">
      <c r="A21" t="s">
        <v>196</v>
      </c>
      <c r="B21" t="s">
        <v>197</v>
      </c>
      <c r="C21" t="s">
        <v>152</v>
      </c>
      <c r="D21" t="s">
        <v>145</v>
      </c>
      <c r="E21" t="s">
        <v>153</v>
      </c>
      <c r="F21" t="s">
        <v>154</v>
      </c>
      <c r="G21" t="s">
        <v>17</v>
      </c>
      <c r="H21" t="s">
        <v>22</v>
      </c>
      <c r="I21" t="s">
        <v>23</v>
      </c>
    </row>
    <row r="22" spans="1:9" x14ac:dyDescent="0.25">
      <c r="A22" t="s">
        <v>196</v>
      </c>
      <c r="B22" t="s">
        <v>197</v>
      </c>
      <c r="C22" t="s">
        <v>157</v>
      </c>
      <c r="D22" t="s">
        <v>145</v>
      </c>
      <c r="E22" t="s">
        <v>158</v>
      </c>
      <c r="F22" t="s">
        <v>159</v>
      </c>
      <c r="G22" t="s">
        <v>28</v>
      </c>
      <c r="H22" t="s">
        <v>22</v>
      </c>
      <c r="I22" t="s">
        <v>33</v>
      </c>
    </row>
    <row r="23" spans="1:9" x14ac:dyDescent="0.25">
      <c r="A23" t="s">
        <v>196</v>
      </c>
      <c r="B23" t="s">
        <v>197</v>
      </c>
      <c r="C23" t="s">
        <v>163</v>
      </c>
      <c r="D23" t="s">
        <v>145</v>
      </c>
      <c r="E23" t="s">
        <v>164</v>
      </c>
      <c r="F23" t="s">
        <v>165</v>
      </c>
      <c r="G23" t="s">
        <v>28</v>
      </c>
      <c r="H23" t="s">
        <v>22</v>
      </c>
      <c r="I23" t="s">
        <v>33</v>
      </c>
    </row>
    <row r="24" spans="1:9" x14ac:dyDescent="0.25">
      <c r="A24" t="s">
        <v>196</v>
      </c>
      <c r="B24" t="s">
        <v>197</v>
      </c>
      <c r="C24" t="s">
        <v>168</v>
      </c>
      <c r="D24" t="s">
        <v>169</v>
      </c>
      <c r="E24" t="s">
        <v>170</v>
      </c>
      <c r="F24" t="s">
        <v>171</v>
      </c>
      <c r="G24" t="s">
        <v>17</v>
      </c>
      <c r="H24" t="s">
        <v>22</v>
      </c>
      <c r="I24" t="s">
        <v>23</v>
      </c>
    </row>
    <row r="25" spans="1:9" x14ac:dyDescent="0.25">
      <c r="A25" t="s">
        <v>196</v>
      </c>
      <c r="B25" t="s">
        <v>197</v>
      </c>
      <c r="C25" t="s">
        <v>176</v>
      </c>
      <c r="D25" t="s">
        <v>169</v>
      </c>
      <c r="E25" t="s">
        <v>177</v>
      </c>
      <c r="F25" t="s">
        <v>178</v>
      </c>
      <c r="G25" t="s">
        <v>28</v>
      </c>
      <c r="H25" t="s">
        <v>22</v>
      </c>
      <c r="I25" t="s">
        <v>33</v>
      </c>
    </row>
    <row r="26" spans="1:9" x14ac:dyDescent="0.25">
      <c r="A26" t="s">
        <v>196</v>
      </c>
      <c r="B26" t="s">
        <v>197</v>
      </c>
      <c r="C26" t="s">
        <v>181</v>
      </c>
      <c r="D26" t="s">
        <v>169</v>
      </c>
      <c r="E26" t="s">
        <v>182</v>
      </c>
      <c r="F26" t="s">
        <v>183</v>
      </c>
      <c r="G26" t="s">
        <v>17</v>
      </c>
      <c r="H26" t="s">
        <v>22</v>
      </c>
      <c r="I26" t="s">
        <v>33</v>
      </c>
    </row>
    <row r="27" spans="1:9" x14ac:dyDescent="0.25">
      <c r="A27" t="s">
        <v>196</v>
      </c>
      <c r="B27" t="s">
        <v>197</v>
      </c>
      <c r="C27" t="s">
        <v>188</v>
      </c>
      <c r="D27" t="s">
        <v>169</v>
      </c>
      <c r="E27" t="s">
        <v>189</v>
      </c>
      <c r="F27" t="s">
        <v>190</v>
      </c>
      <c r="G27" t="s">
        <v>17</v>
      </c>
      <c r="H27" t="s">
        <v>22</v>
      </c>
      <c r="I27" t="s">
        <v>33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77590-1C3D-4622-9544-BE9C54B9BFD9}">
  <sheetPr>
    <tabColor rgb="FFFF0000"/>
  </sheetPr>
  <dimension ref="A1:P3"/>
  <sheetViews>
    <sheetView workbookViewId="0">
      <selection activeCell="O10" sqref="O10"/>
    </sheetView>
  </sheetViews>
  <sheetFormatPr defaultRowHeight="15" x14ac:dyDescent="0.25"/>
  <cols>
    <col min="2" max="2" width="29" customWidth="1"/>
    <col min="3" max="3" width="21.7109375" customWidth="1"/>
    <col min="4" max="4" width="11.7109375" customWidth="1"/>
    <col min="5" max="5" width="10.85546875" customWidth="1"/>
    <col min="6" max="7" width="12.7109375" customWidth="1"/>
    <col min="8" max="8" width="15" customWidth="1"/>
    <col min="9" max="9" width="15.85546875" customWidth="1"/>
    <col min="10" max="10" width="17" customWidth="1"/>
    <col min="11" max="11" width="14.140625" customWidth="1"/>
    <col min="12" max="12" width="13.42578125" customWidth="1"/>
    <col min="13" max="13" width="13.7109375" customWidth="1"/>
    <col min="16" max="16" width="32.42578125" customWidth="1"/>
  </cols>
  <sheetData>
    <row r="1" spans="1:16" s="1" customFormat="1" ht="30" x14ac:dyDescent="0.25">
      <c r="A1" s="2" t="s">
        <v>251</v>
      </c>
      <c r="B1" s="2" t="s">
        <v>252</v>
      </c>
      <c r="C1" s="2" t="s">
        <v>1</v>
      </c>
      <c r="D1" s="2" t="s">
        <v>253</v>
      </c>
      <c r="E1" s="2" t="s">
        <v>4</v>
      </c>
      <c r="F1" s="2" t="s">
        <v>11</v>
      </c>
      <c r="G1" s="2" t="s">
        <v>254</v>
      </c>
      <c r="H1" s="2" t="s">
        <v>257</v>
      </c>
      <c r="I1" s="2" t="s">
        <v>255</v>
      </c>
      <c r="J1" s="2" t="s">
        <v>256</v>
      </c>
      <c r="K1" s="2" t="s">
        <v>259</v>
      </c>
      <c r="L1" s="2" t="s">
        <v>260</v>
      </c>
      <c r="M1" s="2" t="s">
        <v>261</v>
      </c>
      <c r="N1" s="2" t="s">
        <v>262</v>
      </c>
      <c r="O1" s="2" t="s">
        <v>263</v>
      </c>
      <c r="P1" s="2" t="s">
        <v>258</v>
      </c>
    </row>
    <row r="2" spans="1:16" s="1" customFormat="1" ht="30" x14ac:dyDescent="0.25">
      <c r="A2" s="1" t="s">
        <v>246</v>
      </c>
      <c r="B2" s="1" t="s">
        <v>264</v>
      </c>
      <c r="C2" s="1" t="s">
        <v>145</v>
      </c>
      <c r="D2" s="1" t="s">
        <v>265</v>
      </c>
      <c r="E2" s="1" t="s">
        <v>17</v>
      </c>
      <c r="F2" s="1" t="s">
        <v>266</v>
      </c>
      <c r="G2" s="1" t="s">
        <v>267</v>
      </c>
      <c r="H2" s="1" t="s">
        <v>268</v>
      </c>
      <c r="I2" s="1" t="s">
        <v>243</v>
      </c>
      <c r="J2" s="1" t="s">
        <v>275</v>
      </c>
      <c r="K2" s="1" t="s">
        <v>236</v>
      </c>
      <c r="M2" s="1" t="s">
        <v>33</v>
      </c>
      <c r="N2" s="1">
        <v>0</v>
      </c>
      <c r="O2" s="1">
        <f ca="1">IF(L2&lt;&gt;"",L2-K2,TODAY()-K2)</f>
        <v>2</v>
      </c>
      <c r="P2" s="1" t="s">
        <v>269</v>
      </c>
    </row>
    <row r="3" spans="1:16" s="1" customFormat="1" ht="30" x14ac:dyDescent="0.25">
      <c r="A3" s="1" t="s">
        <v>250</v>
      </c>
      <c r="B3" s="1" t="s">
        <v>270</v>
      </c>
      <c r="C3" s="1" t="s">
        <v>169</v>
      </c>
      <c r="D3" s="1" t="s">
        <v>271</v>
      </c>
      <c r="E3" s="1" t="s">
        <v>17</v>
      </c>
      <c r="F3" s="1" t="s">
        <v>272</v>
      </c>
      <c r="G3" s="1" t="s">
        <v>273</v>
      </c>
      <c r="H3" s="1" t="s">
        <v>70</v>
      </c>
      <c r="I3" s="1" t="s">
        <v>274</v>
      </c>
      <c r="J3" s="1" t="s">
        <v>276</v>
      </c>
      <c r="K3" s="1" t="s">
        <v>238</v>
      </c>
      <c r="L3" s="1" t="s">
        <v>237</v>
      </c>
      <c r="M3" s="1" t="s">
        <v>33</v>
      </c>
      <c r="N3" s="1">
        <v>0</v>
      </c>
      <c r="O3" s="1">
        <f ca="1">IF(L3&lt;&gt;"",L3-K3,TODAY()-K3)</f>
        <v>1</v>
      </c>
      <c r="P3" s="1" t="s">
        <v>277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Metrics</vt:lpstr>
      <vt:lpstr>Traceability</vt:lpstr>
      <vt:lpstr>Test_Cases</vt:lpstr>
      <vt:lpstr>Smoke</vt:lpstr>
      <vt:lpstr>Regression</vt:lpstr>
      <vt:lpstr>Defects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Wiam BA</dc:creator>
  <cp:lastModifiedBy>Wiam BA</cp:lastModifiedBy>
  <dcterms:created xsi:type="dcterms:W3CDTF">2026-01-25T15:30:27Z</dcterms:created>
  <dcterms:modified xsi:type="dcterms:W3CDTF">2026-02-05T21:57:49Z</dcterms:modified>
</cp:coreProperties>
</file>